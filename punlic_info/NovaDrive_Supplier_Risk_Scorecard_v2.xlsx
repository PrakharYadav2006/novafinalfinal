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ecard" sheetId="1" state="visible" r:id="rId3"/>
    <sheet name="Network Map" sheetId="2" state="visible" r:id="rId4"/>
    <sheet name="Shared Dependencies" sheetId="3" state="visible" r:id="rId5"/>
    <sheet name="Calc" sheetId="4" state="visible" r:id="rId6"/>
    <sheet name="Scales" sheetId="5" state="visible" r:id="rId7"/>
    <sheet name="Events" sheetId="6" state="visible" r:id="rId8"/>
    <sheet name="Sensitivity" sheetId="7" state="visible" r:id="rId9"/>
    <sheet name="Indicators" sheetId="8" state="visible" r:id="rId10"/>
    <sheet name="Method" sheetId="9" state="visible" r:id="rId11"/>
  </sheets>
  <definedNames>
    <definedName function="false" hidden="true" localSheetId="1" name="_xlnm._FilterDatabase" vbProcedure="false">'Network Map'!$A$1:$G$49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<sst xmlns="http://schemas.openxmlformats.org/spreadsheetml/2006/main" count="843" uniqueCount="401">
  <si>
    <t xml:space="preserve">NovaDrive supplier risk scorecard: six-dimension model</t>
  </si>
  <si>
    <t xml:space="preserve">All scores run 0-100 where 100 = riskiest. Overall % = weighted average of the six dimension scores (weights editable on 'Scales'). Missing data is penalised in D6, never treated as low risk. Network and evidence come from the tiering workbook (confirmed and inferred links only). Built only from the supplied workbook.</t>
  </si>
  <si>
    <t xml:space="preserve">Rank</t>
  </si>
  <si>
    <t xml:space="preserve">Entity ID</t>
  </si>
  <si>
    <t xml:space="preserve">Legal name</t>
  </si>
  <si>
    <t xml:space="preserve">Tier</t>
  </si>
  <si>
    <t xml:space="preserve">Link status</t>
  </si>
  <si>
    <t xml:space="preserve">D1 Financial &amp; operational</t>
  </si>
  <si>
    <t xml:space="preserve">D2 Location &amp; systemic</t>
  </si>
  <si>
    <t xml:space="preserve">D3 Network dependence</t>
  </si>
  <si>
    <t xml:space="preserve">D4 Criticality &amp; substitutability</t>
  </si>
  <si>
    <t xml:space="preserve">D5 External threats</t>
  </si>
  <si>
    <t xml:space="preserve">D6 Information gap</t>
  </si>
  <si>
    <t xml:space="preserve">OVERALL RISK %</t>
  </si>
  <si>
    <t xml:space="preserve">Band</t>
  </si>
  <si>
    <t xml:space="preserve">Confidence</t>
  </si>
  <si>
    <t xml:space="preserve">Key vulnerability driver</t>
  </si>
  <si>
    <t xml:space="preserve">Next step</t>
  </si>
  <si>
    <t xml:space="preserve">Network dependence &amp; upstream concentration: an outage hits 3 Tier-1 suppliers; 100% of component supply routed via it; no second qualified source (DOC-079) | Location &amp; systemic exposure: zone Z01: hazard 82, logistics 76, infrastructure 71</t>
  </si>
  <si>
    <t xml:space="preserve">Location &amp; systemic exposure: zone Z01: hazard 82, logistics 76, infrastructure 71 | Business criticality &amp; substitutability: reaches P1+P2+P3 = USD 1,560m (100% of revenue); 16-week replacement</t>
  </si>
  <si>
    <t xml:space="preserve">Network dependence &amp; upstream concentration: an outage hits 2 Tier-1 suppliers; 100% of component supply routed via it; no second qualified source (DOC-078) | Location &amp; systemic exposure: zone Z01: hazard 82, logistics 76, infrastructure 71</t>
  </si>
  <si>
    <t xml:space="preserve">Financial &amp; operational health: current ratio 0.62, debt/EBITDA 7.2, on-time 76.4% (-17.6 pts since Jan) | Dynamic external threats: EV-003 financing pressure (production continues)</t>
  </si>
  <si>
    <t xml:space="preserve">Network dependence &amp; upstream concentration: an outage hits 3 Tier-1 suppliers; 100% of component supply routed via it; no alternative stated in data | Information gap &amp; assurance: assurance gap not in data (scored 100); 3 of 8 indicator fields missing</t>
  </si>
  <si>
    <t xml:space="preserve">Business criticality &amp; substitutability: reaches P1+P2+P3 = USD 1,560m (100% of revenue); 16-week replacement | Network dependence &amp; upstream concentration: an outage hits 2 Tier-1 suppliers; 100% of component supply routed via it; no alternative stated in data</t>
  </si>
  <si>
    <t xml:space="preserve">Business criticality &amp; substitutability: reaches P1+P2+P3 = USD 1,560m (100% of revenue); 16-week replacement | Information gap &amp; assurance: assurance gap not in data (scored 100); 3 of 8 indicator fields missing</t>
  </si>
  <si>
    <t xml:space="preserve">Network dependence &amp; upstream concentration: an outage hits 1 Tier-1 supplier; 100% of component supply routed via it; sole disclosed Tier-1 (100%) | Business criticality &amp; substitutability: reaches P1+P2+P3 = USD 1,560m (100% of revenue); 12-week replacement</t>
  </si>
  <si>
    <t xml:space="preserve">Network dependence &amp; upstream concentration: an outage hits 2 Tier-1 suppliers; 100% of component supply routed via it; no alternative stated in data | Business criticality &amp; substitutability: reaches P1+P2+P3 = USD 1,560m (100% of revenue); 12-week replacement</t>
  </si>
  <si>
    <t xml:space="preserve">Business criticality &amp; substitutability: reaches P1+P2+P3 = USD 1,560m (100% of revenue); 12-week replacement | Location &amp; systemic exposure: zone Z04: hazard 58, logistics 62, infrastructure 52</t>
  </si>
  <si>
    <t xml:space="preserve">Financial &amp; operational health: current ratio 1.54, debt/EBITDA 1.67, on-time 79.3% (-3.5 pts since Jan) | Location &amp; systemic exposure: zone Z06: hazard 67, logistics 59, infrastructure 54</t>
  </si>
  <si>
    <t xml:space="preserve">Business criticality &amp; substitutability: reaches P1+P2+P3 = USD 1,560m (100% of revenue); 16-week replacement</t>
  </si>
  <si>
    <t xml:space="preserve">Network dependence &amp; upstream concentration: an outage hits 1 Tier-1 supplier; 100% of component supply routed via it; sole disclosed Tier-1 (100%) | Location &amp; systemic exposure: zone Z06: hazard 67, logistics 59, infrastructure 54</t>
  </si>
  <si>
    <t xml:space="preserve">Business criticality &amp; substitutability: reaches P1+P2+P3 = USD 1,560m (100% of revenue); 16-week replacement | Financial &amp; operational health: current ratio 1.54, debt/EBITDA 3, on-time 83.1% (+2.2 pts since Jan)</t>
  </si>
  <si>
    <t xml:space="preserve">Location &amp; systemic exposure: zone Z06: hazard 67, logistics 59, infrastructure 54 | Financial &amp; operational health: current ratio 1.79, debt/EBITDA 3.67, on-time 85.6% (+0.8 pts since Jan)</t>
  </si>
  <si>
    <t xml:space="preserve">Network dependence &amp; upstream concentration: an outage hits 1 Tier-1 supplier; 100% of component supply routed via it; sole disclosed Tier-1 (100%)</t>
  </si>
  <si>
    <t xml:space="preserve">Network dependence &amp; upstream concentration: an outage hits 1 Tier-1 supplier; 100% of component supply routed via it; sole disclosed Tier-1 (100%) | Information gap &amp; assurance: assurance gap 69</t>
  </si>
  <si>
    <t xml:space="preserve">Information gap &amp; assurance: assurance gap not in data (scored 100); 3 of 8 indicator fields missing</t>
  </si>
  <si>
    <t xml:space="preserve">Financial &amp; operational health: current ratio 1.51, debt/EBITDA 1.33, on-time 78.8% (-0.9 pts since Jan) | Location &amp; systemic exposure: zone Z04: hazard 58, logistics 62, infrastructure 52</t>
  </si>
  <si>
    <t xml:space="preserve">No dimension above the network average; highest is Network dependence &amp; upstream concentration: an outage hits 1 Tier-1 supplier; 100% of component supply routed via it; no alternative stated in data</t>
  </si>
  <si>
    <t xml:space="preserve">No dimension above the network average; highest is Business criticality &amp; substitutability: reaches P3 = USD 416m (27% of revenue); 12-week replacement</t>
  </si>
  <si>
    <t xml:space="preserve">Key vulnerability driver = the two dimensions where the supplier sits furthest above the network average (weighted). Rows are sorted by Overall % under the active weights.</t>
  </si>
  <si>
    <t xml:space="preserve">Not scored: hypotheses (Solace Optics, Alder Bauxite) and non-supplier entities (CommonSpan, Jade Holdings, Harbor Freight, Ion Peak Trading, Delta Consumer Plastics): see the tiering workbook.</t>
  </si>
  <si>
    <t xml:space="preserve">Product</t>
  </si>
  <si>
    <t xml:space="preserve">Component</t>
  </si>
  <si>
    <t xml:space="preserve">Tier-1 supplier (disclosed allocation)</t>
  </si>
  <si>
    <t xml:space="preserve">Tier-2 supplier</t>
  </si>
  <si>
    <t xml:space="preserve">Tier-3 supplier</t>
  </si>
  <si>
    <t xml:space="preserve">Path status (weakest link)</t>
  </si>
  <si>
    <t xml:space="preserve">Evidence IDs: Tier-1 | Tier-2 | Tier-3</t>
  </si>
  <si>
    <t xml:space="preserve">P1 DriveCore</t>
  </si>
  <si>
    <t xml:space="preserve">C10 Control board</t>
  </si>
  <si>
    <t xml:space="preserve">Cobalt Control Electronics Ltd. (100%)</t>
  </si>
  <si>
    <t xml:space="preserve">Jade Printed Circuits Ltd.</t>
  </si>
  <si>
    <t xml:space="preserve">Warden Copper Foil Ltd.</t>
  </si>
  <si>
    <t xml:space="preserve">Confirmed</t>
  </si>
  <si>
    <t xml:space="preserve">DOC-009, DOC-010, SHP-00050 | DOC-025, DOC-079 | DOC-060</t>
  </si>
  <si>
    <t xml:space="preserve">Xenon Resin Ltd.</t>
  </si>
  <si>
    <t xml:space="preserve">DOC-009, DOC-010, SHP-00050 | DOC-025, DOC-079 | DOC-064</t>
  </si>
  <si>
    <t xml:space="preserve">Kestrel Microdevices Ltd.</t>
  </si>
  <si>
    <t xml:space="preserve">-</t>
  </si>
  <si>
    <t xml:space="preserve">DOC-009, DOC-010, SHP-00050 | DOC-031</t>
  </si>
  <si>
    <t xml:space="preserve">Rill Connectors Ltd.</t>
  </si>
  <si>
    <t xml:space="preserve">DOC-009, DOC-010, SHP-00050 | DOC-051</t>
  </si>
  <si>
    <t xml:space="preserve">C20 DC-link capacitor</t>
  </si>
  <si>
    <t xml:space="preserve">Delta Capacitor Works Ltd. (100%)</t>
  </si>
  <si>
    <t xml:space="preserve">Meridian Dielectrics Ltd.</t>
  </si>
  <si>
    <t xml:space="preserve">Zenith Polymer Ltd.</t>
  </si>
  <si>
    <t xml:space="preserve">DOC-011, DOC-012, SHP-00062 | DOC-039 | DOC-070</t>
  </si>
  <si>
    <t xml:space="preserve">Nacre Foils Ltd.</t>
  </si>
  <si>
    <t xml:space="preserve">DOC-011, DOC-012, SHP-00062 | DOC-041</t>
  </si>
  <si>
    <t xml:space="preserve">H10 Protective housing</t>
  </si>
  <si>
    <t xml:space="preserve">ForgeLine Enclosures Ltd. (100%)</t>
  </si>
  <si>
    <t xml:space="preserve">Quartz Alloy Ltd.</t>
  </si>
  <si>
    <t xml:space="preserve">DOC-015, DOC-016 | DOC-049</t>
  </si>
  <si>
    <t xml:space="preserve">M10 Standard power assembly</t>
  </si>
  <si>
    <t xml:space="preserve">Aster Power Assemblies Ltd. (60%)</t>
  </si>
  <si>
    <t xml:space="preserve">IonPeak Semiconductor Ltd.</t>
  </si>
  <si>
    <t xml:space="preserve">Umber Silicon Carbide Ltd.</t>
  </si>
  <si>
    <t xml:space="preserve">DOC-001, DOC-002, SHP-00002 | DOC-021, DOC-078 | DOC-056</t>
  </si>
  <si>
    <t xml:space="preserve">Verdant Process Gases Ltd.</t>
  </si>
  <si>
    <t xml:space="preserve">Inferred</t>
  </si>
  <si>
    <t xml:space="preserve">DOC-001, DOC-002, SHP-00002 | DOC-021, DOC-078 | DOC-058</t>
  </si>
  <si>
    <t xml:space="preserve">Lumen Magnetics Ltd.</t>
  </si>
  <si>
    <t xml:space="preserve">DOC-001, DOC-002, SHP-00002 | DOC-035</t>
  </si>
  <si>
    <t xml:space="preserve">Orion Ceramics Ltd.</t>
  </si>
  <si>
    <t xml:space="preserve">Yarrow Specialty Minerals Ltd.</t>
  </si>
  <si>
    <t xml:space="preserve">DOC-001, DOC-002, SHP-00002 | DOC-043 | DOC-066</t>
  </si>
  <si>
    <t xml:space="preserve">Boreal Power Systems Ltd. (40%)</t>
  </si>
  <si>
    <t xml:space="preserve">DOC-005, DOC-006, SHP-00025 | DOC-023, DOC-078 | DOC-056</t>
  </si>
  <si>
    <t xml:space="preserve">DOC-005, DOC-006, SHP-00025 | DOC-023, DOC-078 | DOC-058</t>
  </si>
  <si>
    <t xml:space="preserve">DOC-005, DOC-006, SHP-00025 | DOC-037</t>
  </si>
  <si>
    <t xml:space="preserve">DOC-005, DOC-006, SHP-00025 | DOC-045 | DOC-066</t>
  </si>
  <si>
    <t xml:space="preserve">P2 ChargeBridge</t>
  </si>
  <si>
    <t xml:space="preserve">H20 Cooling assembly</t>
  </si>
  <si>
    <t xml:space="preserve">Estuary Thermal Systems Ltd. (100%)</t>
  </si>
  <si>
    <t xml:space="preserve">Pine Thermal Metals Ltd.</t>
  </si>
  <si>
    <t xml:space="preserve">DOC-013, DOC-014 | DOC-047</t>
  </si>
  <si>
    <t xml:space="preserve">M20 High-voltage power assembly</t>
  </si>
  <si>
    <t xml:space="preserve">Aster Power Assemblies Ltd. (70%)</t>
  </si>
  <si>
    <t xml:space="preserve">DOC-003, DOC-004 | DOC-021, DOC-078 | DOC-056</t>
  </si>
  <si>
    <t xml:space="preserve">DOC-003, DOC-004 | DOC-021, DOC-078 | DOC-058</t>
  </si>
  <si>
    <t xml:space="preserve">DOC-003, DOC-004 | DOC-035</t>
  </si>
  <si>
    <t xml:space="preserve">DOC-003, DOC-004 | DOC-043 | DOC-066</t>
  </si>
  <si>
    <t xml:space="preserve">Boreal Power Systems Ltd. (30%)</t>
  </si>
  <si>
    <t xml:space="preserve">DOC-007, DOC-008 | DOC-023, DOC-078 | DOC-056</t>
  </si>
  <si>
    <t xml:space="preserve">DOC-007, DOC-008 | DOC-023, DOC-078 | DOC-058</t>
  </si>
  <si>
    <t xml:space="preserve">DOC-007, DOC-008 | DOC-037</t>
  </si>
  <si>
    <t xml:space="preserve">DOC-007, DOC-008 | DOC-045 | DOC-066</t>
  </si>
  <si>
    <t xml:space="preserve">P3 StoreLink</t>
  </si>
  <si>
    <t xml:space="preserve">B10 Battery-monitoring board</t>
  </si>
  <si>
    <t xml:space="preserve">Grove Battery Controls Ltd. (80%)</t>
  </si>
  <si>
    <t xml:space="preserve">DOC-017, DOC-018 | DOC-027, DOC-079 | DOC-060</t>
  </si>
  <si>
    <t xml:space="preserve">DOC-017, DOC-018 | DOC-027, DOC-079 | DOC-064</t>
  </si>
  <si>
    <t xml:space="preserve">DOC-017, DOC-018 | DOC-033</t>
  </si>
  <si>
    <t xml:space="preserve">HarborSense Electronics Ltd. (20%)</t>
  </si>
  <si>
    <t xml:space="preserve">DOC-019, DOC-020 | DOC-029, DOC-079 | DOC-060</t>
  </si>
  <si>
    <t xml:space="preserve">DOC-019, DOC-020 | DOC-029, DOC-079 | DOC-064</t>
  </si>
  <si>
    <t xml:space="preserve">48 paths from the confirmed and inferred links in the tiering workbook ('Network Links'). Tier-1 share is the disclosed planning allocation, not purchase data. Hypotheses (Solace, Alder Bauxite) are not mapped.</t>
  </si>
  <si>
    <t xml:space="preserve">ID</t>
  </si>
  <si>
    <t xml:space="preserve">Priority (analyst view)</t>
  </si>
  <si>
    <t xml:space="preserve">Shared node</t>
  </si>
  <si>
    <t xml:space="preserve">Why it is a hidden concentration</t>
  </si>
  <si>
    <t xml:space="preserve">Components affected</t>
  </si>
  <si>
    <t xml:space="preserve">Products affected / exposure</t>
  </si>
  <si>
    <t xml:space="preserve">Evidence IDs</t>
  </si>
  <si>
    <t xml:space="preserve">Key quote</t>
  </si>
  <si>
    <t xml:space="preserve">Status</t>
  </si>
  <si>
    <t xml:space="preserve">S1</t>
  </si>
  <si>
    <t xml:space="preserve">Critical</t>
  </si>
  <si>
    <t xml:space="preserve">IonPeak Semiconductor Ltd. (ORG-439), SITE-074, Z01 (East Delta)</t>
  </si>
  <si>
    <t xml:space="preserve">Single qualified source of power semiconductor dies behind BOTH Tier-1 power-assembly suppliers. The apparent M10/M20 dual-sourcing (Aster 60/40 Boreal for M10; 70/30 for M20) collapses to one die source.</t>
  </si>
  <si>
    <t xml:space="preserve">M10 (P1, P3) and M20 (P2): all three products</t>
  </si>
  <si>
    <t xml:space="preserve">All 3 products. Combined annual product revenue exposed: USD 1,560m (P1 624, P2 520, P3 416). This is revenue of the dependent products, not supplier spend.</t>
  </si>
  <si>
    <t xml:space="preserve">DOC-021, DOC-023, DOC-056, DOC-077, DOC-078, SHP-00125</t>
  </si>
  <si>
    <t xml:space="preserve">"The current M10/M20 programs at both Aster and Boreal use the same qualified IonPeak production die family from SITE-074. No second die source is currently qualified for these programs." (DOC-078)</t>
  </si>
  <si>
    <t xml:space="preserve">S2</t>
  </si>
  <si>
    <t xml:space="preserve">CommonSpan Holdings Ltd. (ORG-268) - common parent of Aster and Boreal</t>
  </si>
  <si>
    <t xml:space="preserve">The two 'competing' Tier-1 power-assembly suppliers are ultimately owned by the same parent, and also share the same three Tier-2 suppliers (IonPeak, Lumen Magnetics, Orion Ceramics). Tier-1 diversification here is in brand only.</t>
  </si>
  <si>
    <t xml:space="preserve">M10, M20</t>
  </si>
  <si>
    <t xml:space="preserve">All 3 products (same as S1)</t>
  </si>
  <si>
    <t xml:space="preserve">DOC-075, DOC-021, DOC-023, DOC-035, DOC-037, DOC-043, DOC-045</t>
  </si>
  <si>
    <t xml:space="preserve">"CommonSpan Holdings Ltd. (ORG-268) consolidates Aster Power Assemblies Ltd. and Boreal Power Systems Ltd. as controlled subsidiaries. Separate brands do not imply separate ultimate ownership." (DOC-075)</t>
  </si>
  <si>
    <t xml:space="preserve">Confirmed (ownership statement)</t>
  </si>
  <si>
    <t xml:space="preserve">S3</t>
  </si>
  <si>
    <t xml:space="preserve">High</t>
  </si>
  <si>
    <t xml:space="preserve">Jade Printed Circuits Ltd. (ORG-453), SITE-081, Z01</t>
  </si>
  <si>
    <t xml:space="preserve">Sole currently-qualified substrate source for Cobalt's C10 control board AND for both B10 suppliers (Grove, HarborSense). Cobalt is itself 100% of C10, so C10 is single-chain end to end; the two B10 suppliers also share this one substrate source.</t>
  </si>
  <si>
    <t xml:space="preserve">C10 (P1, P2, P3) and B10 (P3)</t>
  </si>
  <si>
    <t xml:space="preserve">All 3 products via C10; P3 additionally via B10</t>
  </si>
  <si>
    <t xml:space="preserve">DOC-025, DOC-027, DOC-029, DOC-079, DOC-076, DOC-060, DOC-064</t>
  </si>
  <si>
    <t xml:space="preserve">"There is no presently qualified independent substrate in the supplied corpus" (DOC-079)</t>
  </si>
  <si>
    <t xml:space="preserve">S4</t>
  </si>
  <si>
    <t xml:space="preserve">Z01 (East Delta) as a geography</t>
  </si>
  <si>
    <t xml:space="preserve">Five nodes on the network sit in Z01: IonPeak (Tier-2), Jade Printed Circuits (Tier-2), Orion Ceramics (Tier-2), Umber Silicon Carbide (Tier-3) and, as an inferred link, Verdant Process Gases (Tier-3). One regional event could hit power dies, circuit substrates and ceramic substrates at the same time. See 'Zone Concentration'.</t>
  </si>
  <si>
    <t xml:space="preserve">M10, M20, C10, B10</t>
  </si>
  <si>
    <t xml:space="preserve">All 3 products</t>
  </si>
  <si>
    <t xml:space="preserve">DOC-021, DOC-023, DOC-025, DOC-043, DOC-045, DOC-056, DOC-058, DOC-077</t>
  </si>
  <si>
    <t xml:space="preserve">"IonPeak Semiconductor Ltd. manufactures the NovaDrive-relevant production power dies at SITE-074 in East Delta (Z01)." (DOC-077)</t>
  </si>
  <si>
    <t xml:space="preserve">Confirmed (Verdant = Inferred)</t>
  </si>
  <si>
    <t xml:space="preserve">S5</t>
  </si>
  <si>
    <t xml:space="preserve">Medium</t>
  </si>
  <si>
    <t xml:space="preserve">Kestrel Microdevices Ltd. (ORG-728), SITE-088, Z05</t>
  </si>
  <si>
    <t xml:space="preserve">Microcontroller supplier to both Cobalt (C10) and Grove (B10, 80% of B10). P3 depends on Kestrel through two different components. No Kestrel link to HarborSense appears in the data (NOT IN DATA, not evidence of absence).</t>
  </si>
  <si>
    <t xml:space="preserve">C10 (P1, P2, P3), B10 (P3)</t>
  </si>
  <si>
    <t xml:space="preserve">All 3 products via C10; P3 also via B10</t>
  </si>
  <si>
    <t xml:space="preserve">DOC-031, DOC-033</t>
  </si>
  <si>
    <t xml:space="preserve">"The supplied input is microcontrollers, manufactured at SITE-088." (DOC-031, DOC-033)</t>
  </si>
  <si>
    <t xml:space="preserve">S6</t>
  </si>
  <si>
    <t xml:space="preserve">Single-supplier Tier-1 components</t>
  </si>
  <si>
    <t xml:space="preserve">Four components have one disclosed Tier-1 supplier at ~100% of requirement: C10 (Cobalt), C20 (Delta Capacitor Works), H10 (ForgeLine), H20 (Estuary). No second Tier-1 is evidenced in the data.</t>
  </si>
  <si>
    <t xml:space="preserve">C10, C20, H10, H20</t>
  </si>
  <si>
    <t xml:space="preserve">C10: all 3; C20: P1, P2; H10: P1; H20: P2, P3</t>
  </si>
  <si>
    <t xml:space="preserve">DOC-009, DOC-011, DOC-013, DOC-015</t>
  </si>
  <si>
    <t xml:space="preserve">"The disclosed contracted allocation is approximately 100% of NovaDrive requirements for this component; this is a planning allocation, not a purchase ledger" (e.g. DOC-009)</t>
  </si>
  <si>
    <t xml:space="preserve">Confirmed (planning allocation, not spend)</t>
  </si>
  <si>
    <t xml:space="preserve">Copied from the tiering workbook. These feed dimension D3 (network dependence).</t>
  </si>
  <si>
    <t xml:space="preserve">Facility zone</t>
  </si>
  <si>
    <t xml:space="preserve">Indicator row</t>
  </si>
  <si>
    <t xml:space="preserve">Current ratio</t>
  </si>
  <si>
    <t xml:space="preserve">Net debt/EBITDA</t>
  </si>
  <si>
    <t xml:space="preserve">On-time % (3M)</t>
  </si>
  <si>
    <t xml:space="preserve">On-time change (pts)</t>
  </si>
  <si>
    <t xml:space="preserve">Assurance gap</t>
  </si>
  <si>
    <t xml:space="preserve">Physical hazard</t>
  </si>
  <si>
    <t xml:space="preserve">Logistics friction</t>
  </si>
  <si>
    <t xml:space="preserve">Infrastructure</t>
  </si>
  <si>
    <t xml:space="preserve">Reaches P1</t>
  </si>
  <si>
    <t xml:space="preserve">Reaches P2</t>
  </si>
  <si>
    <t xml:space="preserve">Reaches P3</t>
  </si>
  <si>
    <t xml:space="preserve">Component supply routed via it (%)</t>
  </si>
  <si>
    <t xml:space="preserve">Weeks to replace</t>
  </si>
  <si>
    <t xml:space="preserve">Tier-1s hit together</t>
  </si>
  <si>
    <t xml:space="preserve">Single-source level (0/50/100)</t>
  </si>
  <si>
    <t xml:space="preserve">Independent source families</t>
  </si>
  <si>
    <t xml:space="preserve">EV-001 hit (zone Z01)</t>
  </si>
  <si>
    <t xml:space="preserve">EV-003 hit (Meridian)</t>
  </si>
  <si>
    <t xml:space="preserve">Revenue at risk (USD m)</t>
  </si>
  <si>
    <t xml:space="preserve">Revenue at risk (%)</t>
  </si>
  <si>
    <t xml:space="preserve">Current ratio score</t>
  </si>
  <si>
    <t xml:space="preserve">Debt score</t>
  </si>
  <si>
    <t xml:space="preserve">On-time score</t>
  </si>
  <si>
    <t xml:space="preserve">Trend score</t>
  </si>
  <si>
    <t xml:space="preserve">Indicator fields missing (of 8)</t>
  </si>
  <si>
    <t xml:space="preserve">Link-evidence level (info only, not scored)</t>
  </si>
  <si>
    <t xml:space="preserve">Assurance score (missing = 100)</t>
  </si>
  <si>
    <t xml:space="preserve">OVERALL RISK % (active)</t>
  </si>
  <si>
    <t xml:space="preserve">Overall % Test A</t>
  </si>
  <si>
    <t xml:space="preserve">Overall % Test B</t>
  </si>
  <si>
    <t xml:space="preserve">Evidence confidence</t>
  </si>
  <si>
    <t xml:space="preserve">Data completeness</t>
  </si>
  <si>
    <t xml:space="preserve">Rank (active)</t>
  </si>
  <si>
    <t xml:space="preserve">Rank Test A</t>
  </si>
  <si>
    <t xml:space="preserve">Rank Test B</t>
  </si>
  <si>
    <t xml:space="preserve">ORG-453</t>
  </si>
  <si>
    <t xml:space="preserve">Tier-2</t>
  </si>
  <si>
    <t xml:space="preserve">Z01</t>
  </si>
  <si>
    <t xml:space="preserve">ORG-455</t>
  </si>
  <si>
    <t xml:space="preserve">Tier-3</t>
  </si>
  <si>
    <t xml:space="preserve">ORG-736</t>
  </si>
  <si>
    <t xml:space="preserve">ORG-439</t>
  </si>
  <si>
    <t xml:space="preserve">ORG-708</t>
  </si>
  <si>
    <t xml:space="preserve">ORG-210</t>
  </si>
  <si>
    <t xml:space="preserve">Z03</t>
  </si>
  <si>
    <t xml:space="preserve">ORG-873</t>
  </si>
  <si>
    <t xml:space="preserve">Z06</t>
  </si>
  <si>
    <t xml:space="preserve">ORG-179</t>
  </si>
  <si>
    <t xml:space="preserve">Z04</t>
  </si>
  <si>
    <t xml:space="preserve">ORG-942</t>
  </si>
  <si>
    <t xml:space="preserve">ORG-520</t>
  </si>
  <si>
    <t xml:space="preserve">Z08</t>
  </si>
  <si>
    <t xml:space="preserve">ORG-119</t>
  </si>
  <si>
    <t xml:space="preserve">Cobalt Control Electronics Ltd.</t>
  </si>
  <si>
    <t xml:space="preserve">Tier-1</t>
  </si>
  <si>
    <t xml:space="preserve">ORG-728</t>
  </si>
  <si>
    <t xml:space="preserve">Z05</t>
  </si>
  <si>
    <t xml:space="preserve">ORG-469</t>
  </si>
  <si>
    <t xml:space="preserve">ORG-849</t>
  </si>
  <si>
    <t xml:space="preserve">ORG-247</t>
  </si>
  <si>
    <t xml:space="preserve">Aster Power Assemblies Ltd.</t>
  </si>
  <si>
    <t xml:space="preserve">Z02</t>
  </si>
  <si>
    <t xml:space="preserve">ORG-786</t>
  </si>
  <si>
    <t xml:space="preserve">Estuary Thermal Systems Ltd.</t>
  </si>
  <si>
    <t xml:space="preserve">ORG-725</t>
  </si>
  <si>
    <t xml:space="preserve">Boreal Power Systems Ltd.</t>
  </si>
  <si>
    <t xml:space="preserve">ORG-274</t>
  </si>
  <si>
    <t xml:space="preserve">ORG-922</t>
  </si>
  <si>
    <t xml:space="preserve">Delta Capacitor Works Ltd.</t>
  </si>
  <si>
    <t xml:space="preserve">ORG-287</t>
  </si>
  <si>
    <t xml:space="preserve">ForgeLine Enclosures Ltd.</t>
  </si>
  <si>
    <t xml:space="preserve">ORG-659</t>
  </si>
  <si>
    <t xml:space="preserve">ORG-103</t>
  </si>
  <si>
    <t xml:space="preserve">Grove Battery Controls Ltd.</t>
  </si>
  <si>
    <t xml:space="preserve">ORG-329</t>
  </si>
  <si>
    <t xml:space="preserve">ORG-176</t>
  </si>
  <si>
    <t xml:space="preserve">HarborSense Electronics Ltd.</t>
  </si>
  <si>
    <t xml:space="preserve">Blue = inputs taken from the workbook sheets or from the network map in the tiering workbook. Everything else is a formula.</t>
  </si>
  <si>
    <t xml:space="preserve">Scales, weights and inputs (blue cells can be edited)</t>
  </si>
  <si>
    <t xml:space="preserve">Measure</t>
  </si>
  <si>
    <t xml:space="preserve">Lowest in sheet</t>
  </si>
  <si>
    <t xml:space="preserve">Highest in sheet</t>
  </si>
  <si>
    <t xml:space="preserve">Which end is riskier</t>
  </si>
  <si>
    <t xml:space="preserve">Lower = riskier</t>
  </si>
  <si>
    <t xml:space="preserve">Net debt / EBITDA</t>
  </si>
  <si>
    <t xml:space="preserve">Higher = riskier</t>
  </si>
  <si>
    <t xml:space="preserve">Shipment timeliness, 3M avg (%)</t>
  </si>
  <si>
    <t xml:space="preserve">Timeliness change, Jan to latest (pts)</t>
  </si>
  <si>
    <t xml:space="preserve">Lower (more negative) = riskier</t>
  </si>
  <si>
    <t xml:space="preserve">Dimension weights (%)</t>
  </si>
  <si>
    <t xml:space="preserve">Weight set</t>
  </si>
  <si>
    <t xml:space="preserve">Financial &amp; operational health</t>
  </si>
  <si>
    <t xml:space="preserve">Location &amp; systemic exposure</t>
  </si>
  <si>
    <t xml:space="preserve">Network dependence &amp; upstream concentration</t>
  </si>
  <si>
    <t xml:space="preserve">Business criticality &amp; substitutability</t>
  </si>
  <si>
    <t xml:space="preserve">Dynamic external threats</t>
  </si>
  <si>
    <t xml:space="preserve">Information gap &amp; assurance</t>
  </si>
  <si>
    <t xml:space="preserve">Total</t>
  </si>
  <si>
    <t xml:space="preserve">Active weights (used in Scorecard)</t>
  </si>
  <si>
    <t xml:space="preserve">Test A: equal weights</t>
  </si>
  <si>
    <t xml:space="preserve">Test B: health and location led</t>
  </si>
  <si>
    <t xml:space="preserve">Event severity levels (0-100). These are assumptions, editable</t>
  </si>
  <si>
    <t xml:space="preserve">Zone-level watch, no damage confirmed (EV-001)</t>
  </si>
  <si>
    <t xml:space="preserve">Supplier-specific adverse report, production continues (EV-003)</t>
  </si>
  <si>
    <t xml:space="preserve">Confirmed disruption of the supplier's facility (none in data)</t>
  </si>
  <si>
    <t xml:space="preserve">Product revenue, USD m (Business Context sheet)</t>
  </si>
  <si>
    <t xml:space="preserve">P1 DriveCore industrial inverter</t>
  </si>
  <si>
    <t xml:space="preserve">P2 ChargeBridge charging power unit</t>
  </si>
  <si>
    <t xml:space="preserve">P3 StoreLink storage control cabinet</t>
  </si>
  <si>
    <t xml:space="preserve">Weeks to qualify a replacement (Components Context sheet)</t>
  </si>
  <si>
    <t xml:space="preserve">Longest</t>
  </si>
  <si>
    <t xml:space="preserve">Most Tier-1 suppliers hit by one node</t>
  </si>
  <si>
    <t xml:space="preserve">Risk band: 'Medium' starts at (1/3 point of the 24 suppliers)</t>
  </si>
  <si>
    <t xml:space="preserve">Risk band: 'High' starts at (2/3 point of the 24 suppliers)</t>
  </si>
  <si>
    <t xml:space="preserve">Event</t>
  </si>
  <si>
    <t xml:space="preserve">Date</t>
  </si>
  <si>
    <t xml:space="preserve">Headline</t>
  </si>
  <si>
    <t xml:space="preserve">Decision</t>
  </si>
  <si>
    <t xml:space="preserve">Matched to</t>
  </si>
  <si>
    <t xml:space="preserve">Severity level used</t>
  </si>
  <si>
    <t xml:space="preserve">Severity (0-100)</t>
  </si>
  <si>
    <t xml:space="preserve">Why</t>
  </si>
  <si>
    <t xml:space="preserve">What to verify</t>
  </si>
  <si>
    <t xml:space="preserve">EV-001</t>
  </si>
  <si>
    <t xml:space="preserve">2025-09-23</t>
  </si>
  <si>
    <t xml:space="preserve">East Delta flood watch</t>
  </si>
  <si>
    <t xml:space="preserve">Matched: watch only</t>
  </si>
  <si>
    <t xml:space="preserve">Every Z01 supplier in the network: IonPeak, Jade PC, Orion, Umber, Verdant</t>
  </si>
  <si>
    <t xml:space="preserve">Zone-level watch</t>
  </si>
  <si>
    <t xml:space="preserve">Event names zone Z01. No damage or shutdown confirmed.</t>
  </si>
  <si>
    <t xml:space="preserve">Flood readiness at Z01 suppliers.</t>
  </si>
  <si>
    <t xml:space="preserve">EV-002</t>
  </si>
  <si>
    <t xml:space="preserve">Trade-wire repeats flood watch</t>
  </si>
  <si>
    <t xml:space="preserve">Duplicate: count once</t>
  </si>
  <si>
    <t xml:space="preserve">(same as EV-001)</t>
  </si>
  <si>
    <t xml:space="preserve">None</t>
  </si>
  <si>
    <t xml:space="preserve">Same source family WX-0923; no independent evidence.</t>
  </si>
  <si>
    <t xml:space="preserve">None.</t>
  </si>
  <si>
    <t xml:space="preserve">EV-003</t>
  </si>
  <si>
    <t xml:space="preserve">2025-09-24</t>
  </si>
  <si>
    <t xml:space="preserve">Meridian financing pressure</t>
  </si>
  <si>
    <t xml:space="preserve">Matched: supplier-specific</t>
  </si>
  <si>
    <t xml:space="preserve">Meridian Dielectrics</t>
  </si>
  <si>
    <t xml:space="preserve">Supplier-specific adverse report</t>
  </si>
  <si>
    <t xml:space="preserve">Name matches exactly; production continues.</t>
  </si>
  <si>
    <t xml:space="preserve">Credit position; Delta Capacitor exposure.</t>
  </si>
  <si>
    <t xml:space="preserve">EV-004</t>
  </si>
  <si>
    <t xml:space="preserve">2025-09-25</t>
  </si>
  <si>
    <t xml:space="preserve">Ion Peak Trading insolvency</t>
  </si>
  <si>
    <t xml:space="preserve">No match: different company</t>
  </si>
  <si>
    <t xml:space="preserve">none</t>
  </si>
  <si>
    <t xml:space="preserve">Ion Peak Trading is a broker, not IonPeak Semiconductor (DOC-077).</t>
  </si>
  <si>
    <t xml:space="preserve">EV-005</t>
  </si>
  <si>
    <t xml:space="preserve">2025-09-26</t>
  </si>
  <si>
    <t xml:space="preserve">Archived port strike reposted</t>
  </si>
  <si>
    <t xml:space="preserve">Stale: ignore</t>
  </si>
  <si>
    <t xml:space="preserve">Effective 2023-11-03; dispute ended in 2023.</t>
  </si>
  <si>
    <t xml:space="preserve">EV-007</t>
  </si>
  <si>
    <t xml:space="preserve">2025-09-27</t>
  </si>
  <si>
    <t xml:space="preserve">Jade head office relocation</t>
  </si>
  <si>
    <t xml:space="preserve">Matched: no production impact</t>
  </si>
  <si>
    <t xml:space="preserve">Jade (head office only)</t>
  </si>
  <si>
    <t xml:space="preserve">Administrative move; production stays at East Delta site.</t>
  </si>
  <si>
    <t xml:space="preserve">None, unless disruption is reported.</t>
  </si>
  <si>
    <t xml:space="preserve">EV-009</t>
  </si>
  <si>
    <t xml:space="preserve">2025-09-29</t>
  </si>
  <si>
    <t xml:space="preserve">Delta packaging allegation corrected</t>
  </si>
  <si>
    <t xml:space="preserve">About Delta Consumer Plastics, not Delta Capacitor Works.</t>
  </si>
  <si>
    <t xml:space="preserve">EV-010</t>
  </si>
  <si>
    <t xml:space="preserve">2025-09-30</t>
  </si>
  <si>
    <t xml:space="preserve">Gulf Arc port congestion</t>
  </si>
  <si>
    <t xml:space="preserve">Cannot match: not enough data</t>
  </si>
  <si>
    <t xml:space="preserve">No supplier, facility or zone in the workbook is tied to Gulf Arc.</t>
  </si>
  <si>
    <t xml:space="preserve">Which suppliers ship via Gulf Arc.</t>
  </si>
  <si>
    <t xml:space="preserve">D5 uses the highest matched severity per supplier. Severity levels are assumptions (editable on Scales); the data gives no severity scale. EV-006 and EV-008 are absent from the sheet.</t>
  </si>
  <si>
    <t xml:space="preserve">Rank: active weights</t>
  </si>
  <si>
    <t xml:space="preserve">Rank: equal weights</t>
  </si>
  <si>
    <t xml:space="preserve">Rank: health and location led</t>
  </si>
  <si>
    <t xml:space="preserve">Biggest move</t>
  </si>
  <si>
    <t xml:space="preserve">A supplier whose rank barely moves is high or low under any reasonable weighting. A big move means its position depends on the weights.</t>
  </si>
  <si>
    <t xml:space="preserve">Legal Name</t>
  </si>
  <si>
    <t xml:space="preserve">Current Ratio</t>
  </si>
  <si>
    <t xml:space="preserve">Net Debt / EBITDA</t>
  </si>
  <si>
    <t xml:space="preserve">Shipment Timeliness - 3M Avg (%)</t>
  </si>
  <si>
    <t xml:space="preserve">Timeliness Change - Jan To Latest (pp)</t>
  </si>
  <si>
    <t xml:space="preserve">Assurance Gap Index</t>
  </si>
  <si>
    <t xml:space="preserve">Physical Hazard Index</t>
  </si>
  <si>
    <t xml:space="preserve">Logistics Friction Index</t>
  </si>
  <si>
    <t xml:space="preserve">Infrastructure Index</t>
  </si>
  <si>
    <t xml:space="preserve">ORG-268</t>
  </si>
  <si>
    <t xml:space="preserve">CommonSpan Holdings Ltd.</t>
  </si>
  <si>
    <t xml:space="preserve">ORG-857</t>
  </si>
  <si>
    <t xml:space="preserve">Delta Consumer Plastics Ltd.</t>
  </si>
  <si>
    <t xml:space="preserve">ORG-328</t>
  </si>
  <si>
    <t xml:space="preserve">Harbor Freight Services Ltd.</t>
  </si>
  <si>
    <t xml:space="preserve">ORG-309</t>
  </si>
  <si>
    <t xml:space="preserve">Ion Peak Trading Ltd.</t>
  </si>
  <si>
    <t xml:space="preserve">ORG-445</t>
  </si>
  <si>
    <t xml:space="preserve">Jade Circuits Holdings Ltd.</t>
  </si>
  <si>
    <t xml:space="preserve">ORG-320</t>
  </si>
  <si>
    <t xml:space="preserve">Solace Optics Ltd.</t>
  </si>
  <si>
    <t xml:space="preserve">Source: 'Supplier business Indicators' sheet of the supplied NovaDrive workbook, copied unchanged. Blank = not provided.</t>
  </si>
  <si>
    <t xml:space="preserve">How the scores are built</t>
  </si>
  <si>
    <t xml:space="preserve">Overall risk %</t>
  </si>
  <si>
    <t xml:space="preserve">Weighted average of six dimension scores, each 0-100 (100 = riskiest). Active weights: D1 20, D2 15, D3 30, D4 15, D5 10, D6 10 (total 100). Edit them on 'Scales'.</t>
  </si>
  <si>
    <t xml:space="preserve">Why these weights: the case is about network vulnerability, so network dependence (D3) is the largest and own health (D1) next. D6 was cut from 15 to 10 (its 5 points moved to D3) so that missing data cannot outrank suppliers with proven single-source evidence. The link-evidence penalty was also removed from D6 to keep evidence confidence separate from risk. D5 is smallest because only 8 events exist and just 2 match a supplier. The data gives no weights: this is a stated judgement. 'Sensitivity' shows ranks under equal weights and a health-led set.</t>
  </si>
  <si>
    <t xml:space="preserve">The six dimensions</t>
  </si>
  <si>
    <t xml:space="preserve">D1 Financial &amp; operational health = average of 4 sub-scores: Current Ratio (lower is riskier), Net Debt/EBITDA (higher is riskier), Shipment Timeliness 3M avg (lower is riskier), Timeliness change Jan to latest (more negative is riskier). Each is scaled between the lowest and highest value in the Indicators sheet. If financials are missing, D1 uses the two timeliness sub-scores only, and the gap is penalised in D6.</t>
  </si>
  <si>
    <t xml:space="preserve">D2 Location &amp; systemic exposure = average of Physical Hazard, Logistics Friction and Infrastructure indices for the facility zone, used as given. Assumed higher = riskier (the three move together zone by zone).</t>
  </si>
  <si>
    <t xml:space="preserve">D3 Network dependence &amp; upstream concentration = average of: (a) Tier-1 suppliers that fail together with it, scaled 1 = 0 to 3 = 100 (Aster and Boreal count 2: same parent, DOC-075); (b) share of component supply routed through it (disclosed Tier-1 allocations; actual volumes are NOT IN DATA); (c) single-source level: 100 = data shows no alternative (sole disclosed Tier-1 at 100%, or explicit 'no second qualified source': IonPeak DOC-078, Jade DOC-079), 50 = no alternative stated or two suppliers under one parent, 0 = a second independent Tier-1 is disclosed (Grove, HarborSense).</t>
  </si>
  <si>
    <t xml:space="preserve">D4 Business criticality &amp; substitutability = average of: revenue of linked products as % of total revenue (Business Context: P1 624, P2 520, P3 416); and weeks to qualify a replacement divided by the longest (16, Components Context).</t>
  </si>
  <si>
    <t xml:space="preserve">D5 Dynamic external threats = highest severity among matched events. Z01 watch = 40, supplier-specific adverse report = 60, confirmed disruption = 100, none = 0. Events matched by zone or name; duplicates, stale and different-company events are excluded (see 'Events').</t>
  </si>
  <si>
    <t xml:space="preserve">D6 Information gap &amp; assurance = average of two facts: Assurance Gap Index (missing = 100) and the share of the 8 indicator fields that are missing x 100. Missing data therefore raises risk. How strongly a supplier link is evidenced is NOT scored here: the handbook says to keep evidence confidence separate from risk, so it appears only in the Confidence column.</t>
  </si>
  <si>
    <t xml:space="preserve">Band, confidence, next step</t>
  </si>
  <si>
    <t xml:space="preserve">Band: High = top third of the 24 suppliers by Overall %, Medium = middle third, Low = bottom third (relative to this network). Suppliers within about 1 point of a cut-off could flip.</t>
  </si>
  <si>
    <t xml:space="preserve">Confidence = lower of: evidence (High = 2+ independent source families on the link, Medium = one, Low = inferred) and data completeness (High only if all 8 indicator fields are present). Confidence is shown separately and never changes the Overall Risk %; D6 is the only place missing indicator data enters the score.</t>
  </si>
  <si>
    <t xml:space="preserve">Next step: Inferred link = verify the link first; High band with Low confidence = verify data first; High band otherwise = search alternates now; Medium = prepare shortlist; Low = monitor.</t>
  </si>
  <si>
    <t xml:space="preserve">Key vulnerability driver: the two dimensions where the supplier is furthest above the network average, weighted by the active weights.</t>
  </si>
  <si>
    <t xml:space="preserve">Assumptions and limits</t>
  </si>
  <si>
    <t xml:space="preserve">Only the supplied workbook and the earlier tiering workbook are used. No outside data and no web research.</t>
  </si>
  <si>
    <t xml:space="preserve">Assurance Gap Index is not defined in the workbook; assumed higher = bigger gap = riskier.</t>
  </si>
  <si>
    <t xml:space="preserve">Event severity levels (40/60/100) and the single-source levels (0/50/100) are assumptions, editable or documented here.</t>
  </si>
  <si>
    <t xml:space="preserve">Tier-2/3 'share routed via it' assumes the disclosed link covers the Tier-1's output; order volumes are not disclosed. All Tier-1 awards run to 31 Dec 2026, so contract dates do not separate suppliers.</t>
  </si>
  <si>
    <t xml:space="preserve">Tier-3 suppliers have no financial or assurance data in the workbook, so D6 pushes them up. Read their rank with the Confidence column.</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</si>
</sst>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CE4D6"/>
      </patternFill>
    </fill>
    <fill>
      <patternFill patternType="solid">
        <fgColor rgb="FFFFF2CC"/>
        <bgColor rgb="FFFFFFCC"/>
      </patternFill>
    </fill>
    <fill>
      <patternFill patternType="solid">
        <fgColor rgb="FFFFFFCC"/>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8CBAD"/>
        </patternFill>
      </fill>
    </dxf>
    <dxf>
      <fill>
        <patternFill>
          <bgColor rgb="FFFFF2CC"/>
        </patternFill>
      </fill>
    </dxf>
    <dxf>
      <fill>
        <patternFill>
          <bgColor rgb="FFE2EFDA"/>
        </patternFill>
      </fill>
    </dxf>
    <dxf>
      <fill>
        <patternFill>
          <bgColor rgb="FFFCE4D6"/>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30"/>
    <col collapsed="false" customWidth="true" hidden="false" outlineLevel="0" max="4" min="4" style="0" width="8"/>
    <col collapsed="false" customWidth="true" hidden="false" outlineLevel="0" max="5" min="5" style="0" width="11"/>
    <col collapsed="false" customWidth="true" hidden="false" outlineLevel="0" max="8" min="6" style="0" width="12"/>
    <col collapsed="false" customWidth="true" hidden="false" outlineLevel="0" max="9" min="9" style="0" width="13"/>
    <col collapsed="false" customWidth="true" hidden="false" outlineLevel="0" max="12" min="10" style="0" width="11"/>
    <col collapsed="false" customWidth="true" hidden="false" outlineLevel="0" max="13" min="13" style="0" width="9"/>
    <col collapsed="false" customWidth="true" hidden="false" outlineLevel="0" max="14" min="14" style="0" width="11"/>
    <col collapsed="false" customWidth="true" hidden="false" outlineLevel="0" max="15" min="15" style="0" width="70"/>
    <col collapsed="false" customWidth="true" hidden="false" outlineLevel="0" max="16" min="16" style="0" width="32"/>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row>
    <row r="4" customFormat="false" ht="48"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64.5" hidden="false" customHeight="true" outlineLevel="0" collapsed="false">
      <c r="A5" s="4" t="n">
        <f aca="false">Calc!AV2</f>
        <v>1</v>
      </c>
      <c r="B5" s="4" t="str">
        <f aca="false">Calc!A2</f>
        <v>ORG-453</v>
      </c>
      <c r="C5" s="5" t="str">
        <f aca="false">Calc!B2</f>
        <v>Jade Printed Circuits Ltd.</v>
      </c>
      <c r="D5" s="4" t="str">
        <f aca="false">Calc!C2</f>
        <v>Tier-2</v>
      </c>
      <c r="E5" s="4" t="str">
        <f aca="false">Calc!D2</f>
        <v>Confirmed</v>
      </c>
      <c r="F5" s="6" t="n">
        <f aca="false">Calc!AH2</f>
        <v>40.9028102036288</v>
      </c>
      <c r="G5" s="6" t="n">
        <f aca="false">Calc!AI2</f>
        <v>76.3333333333333</v>
      </c>
      <c r="H5" s="6" t="n">
        <f aca="false">Calc!AJ2</f>
        <v>100</v>
      </c>
      <c r="I5" s="6" t="n">
        <f aca="false">Calc!AK2</f>
        <v>87.5</v>
      </c>
      <c r="J5" s="6" t="n">
        <f aca="false">Calc!AL2</f>
        <v>40</v>
      </c>
      <c r="K5" s="6" t="n">
        <f aca="false">Calc!AM2</f>
        <v>22.5</v>
      </c>
      <c r="L5" s="7" t="n">
        <f aca="false">Calc!AN2</f>
        <v>69.0055620407258</v>
      </c>
      <c r="M5" s="8" t="str">
        <f aca="false">Calc!AQ2</f>
        <v>High</v>
      </c>
      <c r="N5" s="8" t="str">
        <f aca="false">Calc!AT2</f>
        <v>High</v>
      </c>
      <c r="O5" s="9" t="s">
        <v>18</v>
      </c>
      <c r="P5" s="9" t="str">
        <f aca="false">Calc!AU2</f>
        <v>Search alternates now</v>
      </c>
    </row>
    <row r="6" customFormat="false" ht="51.75" hidden="false" customHeight="true" outlineLevel="0" collapsed="false">
      <c r="A6" s="4" t="n">
        <f aca="false">Calc!AV3</f>
        <v>2</v>
      </c>
      <c r="B6" s="4" t="str">
        <f aca="false">Calc!A3</f>
        <v>ORG-455</v>
      </c>
      <c r="C6" s="5" t="str">
        <f aca="false">Calc!B3</f>
        <v>Umber Silicon Carbide Ltd.</v>
      </c>
      <c r="D6" s="4" t="str">
        <f aca="false">Calc!C3</f>
        <v>Tier-3</v>
      </c>
      <c r="E6" s="4" t="str">
        <f aca="false">Calc!D3</f>
        <v>Confirmed</v>
      </c>
      <c r="F6" s="6" t="n">
        <f aca="false">Calc!AH3</f>
        <v>48.8562091503268</v>
      </c>
      <c r="G6" s="6" t="n">
        <f aca="false">Calc!AI3</f>
        <v>76.3333333333333</v>
      </c>
      <c r="H6" s="6" t="n">
        <f aca="false">Calc!AJ3</f>
        <v>66.6666666666667</v>
      </c>
      <c r="I6" s="6" t="n">
        <f aca="false">Calc!AK3</f>
        <v>100</v>
      </c>
      <c r="J6" s="6" t="n">
        <f aca="false">Calc!AL3</f>
        <v>40</v>
      </c>
      <c r="K6" s="6" t="n">
        <f aca="false">Calc!AM3</f>
        <v>68.75</v>
      </c>
      <c r="L6" s="7" t="n">
        <f aca="false">Calc!AN3</f>
        <v>67.0962418300654</v>
      </c>
      <c r="M6" s="8" t="str">
        <f aca="false">Calc!AQ3</f>
        <v>High</v>
      </c>
      <c r="N6" s="8" t="str">
        <f aca="false">Calc!AT3</f>
        <v>Low</v>
      </c>
      <c r="O6" s="9" t="s">
        <v>19</v>
      </c>
      <c r="P6" s="9" t="str">
        <f aca="false">Calc!AU3</f>
        <v>Verify data first</v>
      </c>
    </row>
    <row r="7" customFormat="false" ht="51.75" hidden="false" customHeight="true" outlineLevel="0" collapsed="false">
      <c r="A7" s="4" t="n">
        <f aca="false">Calc!AV4</f>
        <v>3</v>
      </c>
      <c r="B7" s="4" t="str">
        <f aca="false">Calc!A4</f>
        <v>ORG-736</v>
      </c>
      <c r="C7" s="5" t="str">
        <f aca="false">Calc!B4</f>
        <v>Verdant Process Gases Ltd.</v>
      </c>
      <c r="D7" s="4" t="str">
        <f aca="false">Calc!C4</f>
        <v>Tier-3</v>
      </c>
      <c r="E7" s="4" t="str">
        <f aca="false">Calc!D4</f>
        <v>Inferred</v>
      </c>
      <c r="F7" s="6" t="n">
        <f aca="false">Calc!AH4</f>
        <v>41.0947712418301</v>
      </c>
      <c r="G7" s="6" t="n">
        <f aca="false">Calc!AI4</f>
        <v>76.3333333333333</v>
      </c>
      <c r="H7" s="6" t="n">
        <f aca="false">Calc!AJ4</f>
        <v>66.6666666666667</v>
      </c>
      <c r="I7" s="6" t="n">
        <f aca="false">Calc!AK4</f>
        <v>100</v>
      </c>
      <c r="J7" s="6" t="n">
        <f aca="false">Calc!AL4</f>
        <v>40</v>
      </c>
      <c r="K7" s="6" t="n">
        <f aca="false">Calc!AM4</f>
        <v>68.75</v>
      </c>
      <c r="L7" s="7" t="n">
        <f aca="false">Calc!AN4</f>
        <v>65.543954248366</v>
      </c>
      <c r="M7" s="8" t="str">
        <f aca="false">Calc!AQ4</f>
        <v>High</v>
      </c>
      <c r="N7" s="8" t="str">
        <f aca="false">Calc!AT4</f>
        <v>Low</v>
      </c>
      <c r="O7" s="9" t="s">
        <v>19</v>
      </c>
      <c r="P7" s="9" t="str">
        <f aca="false">Calc!AU4</f>
        <v>Verify the link first (needs direct disclosure)</v>
      </c>
    </row>
    <row r="8" customFormat="false" ht="64.5" hidden="false" customHeight="true" outlineLevel="0" collapsed="false">
      <c r="A8" s="4" t="n">
        <f aca="false">Calc!AV5</f>
        <v>4</v>
      </c>
      <c r="B8" s="4" t="str">
        <f aca="false">Calc!A5</f>
        <v>ORG-439</v>
      </c>
      <c r="C8" s="5" t="str">
        <f aca="false">Calc!B5</f>
        <v>IonPeak Semiconductor Ltd.</v>
      </c>
      <c r="D8" s="4" t="str">
        <f aca="false">Calc!C5</f>
        <v>Tier-2</v>
      </c>
      <c r="E8" s="4" t="str">
        <f aca="false">Calc!D5</f>
        <v>Confirmed</v>
      </c>
      <c r="F8" s="6" t="n">
        <f aca="false">Calc!AH5</f>
        <v>40.0367364195017</v>
      </c>
      <c r="G8" s="6" t="n">
        <f aca="false">Calc!AI5</f>
        <v>76.3333333333333</v>
      </c>
      <c r="H8" s="6" t="n">
        <f aca="false">Calc!AJ5</f>
        <v>83.3333333333333</v>
      </c>
      <c r="I8" s="6" t="n">
        <f aca="false">Calc!AK5</f>
        <v>100</v>
      </c>
      <c r="J8" s="6" t="n">
        <f aca="false">Calc!AL5</f>
        <v>40</v>
      </c>
      <c r="K8" s="6" t="n">
        <f aca="false">Calc!AM5</f>
        <v>18</v>
      </c>
      <c r="L8" s="7" t="n">
        <f aca="false">Calc!AN5</f>
        <v>65.2573472839003</v>
      </c>
      <c r="M8" s="8" t="str">
        <f aca="false">Calc!AQ5</f>
        <v>High</v>
      </c>
      <c r="N8" s="8" t="str">
        <f aca="false">Calc!AT5</f>
        <v>High</v>
      </c>
      <c r="O8" s="9" t="s">
        <v>20</v>
      </c>
      <c r="P8" s="9" t="str">
        <f aca="false">Calc!AU5</f>
        <v>Search alternates now</v>
      </c>
    </row>
    <row r="9" customFormat="false" ht="51.75" hidden="false" customHeight="true" outlineLevel="0" collapsed="false">
      <c r="A9" s="4" t="n">
        <f aca="false">Calc!AV6</f>
        <v>5</v>
      </c>
      <c r="B9" s="4" t="str">
        <f aca="false">Calc!A6</f>
        <v>ORG-708</v>
      </c>
      <c r="C9" s="5" t="str">
        <f aca="false">Calc!B6</f>
        <v>Orion Ceramics Ltd.</v>
      </c>
      <c r="D9" s="4" t="str">
        <f aca="false">Calc!C6</f>
        <v>Tier-2</v>
      </c>
      <c r="E9" s="4" t="str">
        <f aca="false">Calc!D6</f>
        <v>Confirmed</v>
      </c>
      <c r="F9" s="6" t="n">
        <f aca="false">Calc!AH6</f>
        <v>27.9716374530446</v>
      </c>
      <c r="G9" s="6" t="n">
        <f aca="false">Calc!AI6</f>
        <v>76.3333333333333</v>
      </c>
      <c r="H9" s="6" t="n">
        <f aca="false">Calc!AJ6</f>
        <v>66.6666666666667</v>
      </c>
      <c r="I9" s="6" t="n">
        <f aca="false">Calc!AK6</f>
        <v>100</v>
      </c>
      <c r="J9" s="6" t="n">
        <f aca="false">Calc!AL6</f>
        <v>40</v>
      </c>
      <c r="K9" s="6" t="n">
        <f aca="false">Calc!AM6</f>
        <v>15</v>
      </c>
      <c r="L9" s="7" t="n">
        <f aca="false">Calc!AN6</f>
        <v>57.5443274906089</v>
      </c>
      <c r="M9" s="8" t="str">
        <f aca="false">Calc!AQ6</f>
        <v>High</v>
      </c>
      <c r="N9" s="8" t="str">
        <f aca="false">Calc!AT6</f>
        <v>Medium</v>
      </c>
      <c r="O9" s="9" t="s">
        <v>19</v>
      </c>
      <c r="P9" s="9" t="str">
        <f aca="false">Calc!AU6</f>
        <v>Search alternates now</v>
      </c>
    </row>
    <row r="10" customFormat="false" ht="51.75" hidden="false" customHeight="true" outlineLevel="0" collapsed="false">
      <c r="A10" s="4" t="n">
        <f aca="false">Calc!AV7</f>
        <v>6</v>
      </c>
      <c r="B10" s="4" t="str">
        <f aca="false">Calc!A7</f>
        <v>ORG-210</v>
      </c>
      <c r="C10" s="5" t="str">
        <f aca="false">Calc!B7</f>
        <v>Meridian Dielectrics Ltd.</v>
      </c>
      <c r="D10" s="4" t="str">
        <f aca="false">Calc!C7</f>
        <v>Tier-2</v>
      </c>
      <c r="E10" s="4" t="str">
        <f aca="false">Calc!D7</f>
        <v>Confirmed</v>
      </c>
      <c r="F10" s="6" t="n">
        <f aca="false">Calc!AH7</f>
        <v>100</v>
      </c>
      <c r="G10" s="6" t="n">
        <f aca="false">Calc!AI7</f>
        <v>23.3333333333333</v>
      </c>
      <c r="H10" s="6" t="n">
        <f aca="false">Calc!AJ7</f>
        <v>50</v>
      </c>
      <c r="I10" s="6" t="n">
        <f aca="false">Calc!AK7</f>
        <v>61.6666666666667</v>
      </c>
      <c r="J10" s="6" t="n">
        <f aca="false">Calc!AL7</f>
        <v>60</v>
      </c>
      <c r="K10" s="6" t="n">
        <f aca="false">Calc!AM7</f>
        <v>36</v>
      </c>
      <c r="L10" s="7" t="n">
        <f aca="false">Calc!AN7</f>
        <v>57.35</v>
      </c>
      <c r="M10" s="8" t="str">
        <f aca="false">Calc!AQ7</f>
        <v>High</v>
      </c>
      <c r="N10" s="8" t="str">
        <f aca="false">Calc!AT7</f>
        <v>Medium</v>
      </c>
      <c r="O10" s="9" t="s">
        <v>21</v>
      </c>
      <c r="P10" s="9" t="str">
        <f aca="false">Calc!AU7</f>
        <v>Search alternates now</v>
      </c>
    </row>
    <row r="11" customFormat="false" ht="64.5" hidden="false" customHeight="true" outlineLevel="0" collapsed="false">
      <c r="A11" s="4" t="n">
        <f aca="false">Calc!AV8</f>
        <v>7</v>
      </c>
      <c r="B11" s="4" t="str">
        <f aca="false">Calc!A8</f>
        <v>ORG-873</v>
      </c>
      <c r="C11" s="5" t="str">
        <f aca="false">Calc!B8</f>
        <v>Warden Copper Foil Ltd.</v>
      </c>
      <c r="D11" s="4" t="str">
        <f aca="false">Calc!C8</f>
        <v>Tier-3</v>
      </c>
      <c r="E11" s="4" t="str">
        <f aca="false">Calc!D8</f>
        <v>Confirmed</v>
      </c>
      <c r="F11" s="6" t="n">
        <f aca="false">Calc!AH8</f>
        <v>16.5032679738562</v>
      </c>
      <c r="G11" s="6" t="n">
        <f aca="false">Calc!AI8</f>
        <v>60</v>
      </c>
      <c r="H11" s="6" t="n">
        <f aca="false">Calc!AJ8</f>
        <v>83.3333333333333</v>
      </c>
      <c r="I11" s="6" t="n">
        <f aca="false">Calc!AK8</f>
        <v>87.5</v>
      </c>
      <c r="J11" s="6" t="n">
        <f aca="false">Calc!AL8</f>
        <v>0</v>
      </c>
      <c r="K11" s="6" t="n">
        <f aca="false">Calc!AM8</f>
        <v>68.75</v>
      </c>
      <c r="L11" s="7" t="n">
        <f aca="false">Calc!AN8</f>
        <v>57.3006535947712</v>
      </c>
      <c r="M11" s="8" t="str">
        <f aca="false">Calc!AQ8</f>
        <v>High</v>
      </c>
      <c r="N11" s="8" t="str">
        <f aca="false">Calc!AT8</f>
        <v>Low</v>
      </c>
      <c r="O11" s="9" t="s">
        <v>22</v>
      </c>
      <c r="P11" s="9" t="str">
        <f aca="false">Calc!AU8</f>
        <v>Verify data first</v>
      </c>
    </row>
    <row r="12" customFormat="false" ht="64.5" hidden="false" customHeight="true" outlineLevel="0" collapsed="false">
      <c r="A12" s="4" t="n">
        <f aca="false">Calc!AV9</f>
        <v>8</v>
      </c>
      <c r="B12" s="4" t="str">
        <f aca="false">Calc!A9</f>
        <v>ORG-179</v>
      </c>
      <c r="C12" s="5" t="str">
        <f aca="false">Calc!B9</f>
        <v>Xenon Resin Ltd.</v>
      </c>
      <c r="D12" s="4" t="str">
        <f aca="false">Calc!C9</f>
        <v>Tier-3</v>
      </c>
      <c r="E12" s="4" t="str">
        <f aca="false">Calc!D9</f>
        <v>Confirmed</v>
      </c>
      <c r="F12" s="6" t="n">
        <f aca="false">Calc!AH9</f>
        <v>16.8300653594771</v>
      </c>
      <c r="G12" s="6" t="n">
        <f aca="false">Calc!AI9</f>
        <v>57.3333333333333</v>
      </c>
      <c r="H12" s="6" t="n">
        <f aca="false">Calc!AJ9</f>
        <v>83.3333333333333</v>
      </c>
      <c r="I12" s="6" t="n">
        <f aca="false">Calc!AK9</f>
        <v>87.5</v>
      </c>
      <c r="J12" s="6" t="n">
        <f aca="false">Calc!AL9</f>
        <v>0</v>
      </c>
      <c r="K12" s="6" t="n">
        <f aca="false">Calc!AM9</f>
        <v>68.75</v>
      </c>
      <c r="L12" s="7" t="n">
        <f aca="false">Calc!AN9</f>
        <v>56.9660130718954</v>
      </c>
      <c r="M12" s="8" t="str">
        <f aca="false">Calc!AQ9</f>
        <v>High</v>
      </c>
      <c r="N12" s="8" t="str">
        <f aca="false">Calc!AT9</f>
        <v>Low</v>
      </c>
      <c r="O12" s="9" t="s">
        <v>22</v>
      </c>
      <c r="P12" s="9" t="str">
        <f aca="false">Calc!AU9</f>
        <v>Verify data first</v>
      </c>
    </row>
    <row r="13" customFormat="false" ht="64.5" hidden="false" customHeight="true" outlineLevel="0" collapsed="false">
      <c r="A13" s="4" t="n">
        <f aca="false">Calc!AV10</f>
        <v>9</v>
      </c>
      <c r="B13" s="4" t="str">
        <f aca="false">Calc!A10</f>
        <v>ORG-942</v>
      </c>
      <c r="C13" s="5" t="str">
        <f aca="false">Calc!B10</f>
        <v>Lumen Magnetics Ltd.</v>
      </c>
      <c r="D13" s="4" t="str">
        <f aca="false">Calc!C10</f>
        <v>Tier-2</v>
      </c>
      <c r="E13" s="4" t="str">
        <f aca="false">Calc!D10</f>
        <v>Confirmed</v>
      </c>
      <c r="F13" s="6" t="n">
        <f aca="false">Calc!AH10</f>
        <v>31.0092001108274</v>
      </c>
      <c r="G13" s="6" t="n">
        <f aca="false">Calc!AI10</f>
        <v>57.3333333333333</v>
      </c>
      <c r="H13" s="6" t="n">
        <f aca="false">Calc!AJ10</f>
        <v>66.6666666666667</v>
      </c>
      <c r="I13" s="6" t="n">
        <f aca="false">Calc!AK10</f>
        <v>100</v>
      </c>
      <c r="J13" s="6" t="n">
        <f aca="false">Calc!AL10</f>
        <v>0</v>
      </c>
      <c r="K13" s="6" t="n">
        <f aca="false">Calc!AM10</f>
        <v>31.5</v>
      </c>
      <c r="L13" s="7" t="n">
        <f aca="false">Calc!AN10</f>
        <v>52.9518400221655</v>
      </c>
      <c r="M13" s="8" t="str">
        <f aca="false">Calc!AQ10</f>
        <v>Medium</v>
      </c>
      <c r="N13" s="8" t="str">
        <f aca="false">Calc!AT10</f>
        <v>Medium</v>
      </c>
      <c r="O13" s="9" t="s">
        <v>23</v>
      </c>
      <c r="P13" s="9" t="str">
        <f aca="false">Calc!AU10</f>
        <v>Prepare shortlist and monitor</v>
      </c>
    </row>
    <row r="14" customFormat="false" ht="51.75" hidden="false" customHeight="true" outlineLevel="0" collapsed="false">
      <c r="A14" s="4" t="n">
        <f aca="false">Calc!AV11</f>
        <v>10</v>
      </c>
      <c r="B14" s="4" t="str">
        <f aca="false">Calc!A11</f>
        <v>ORG-520</v>
      </c>
      <c r="C14" s="5" t="str">
        <f aca="false">Calc!B11</f>
        <v>Yarrow Specialty Minerals Ltd.</v>
      </c>
      <c r="D14" s="4" t="str">
        <f aca="false">Calc!C11</f>
        <v>Tier-3</v>
      </c>
      <c r="E14" s="4" t="str">
        <f aca="false">Calc!D11</f>
        <v>Confirmed</v>
      </c>
      <c r="F14" s="6" t="n">
        <f aca="false">Calc!AH11</f>
        <v>15.0326797385621</v>
      </c>
      <c r="G14" s="6" t="n">
        <f aca="false">Calc!AI11</f>
        <v>42.3333333333333</v>
      </c>
      <c r="H14" s="6" t="n">
        <f aca="false">Calc!AJ11</f>
        <v>66.6666666666667</v>
      </c>
      <c r="I14" s="6" t="n">
        <f aca="false">Calc!AK11</f>
        <v>100</v>
      </c>
      <c r="J14" s="6" t="n">
        <f aca="false">Calc!AL11</f>
        <v>0</v>
      </c>
      <c r="K14" s="6" t="n">
        <f aca="false">Calc!AM11</f>
        <v>68.75</v>
      </c>
      <c r="L14" s="7" t="n">
        <f aca="false">Calc!AN11</f>
        <v>51.2315359477124</v>
      </c>
      <c r="M14" s="8" t="str">
        <f aca="false">Calc!AQ11</f>
        <v>Medium</v>
      </c>
      <c r="N14" s="8" t="str">
        <f aca="false">Calc!AT11</f>
        <v>Low</v>
      </c>
      <c r="O14" s="9" t="s">
        <v>24</v>
      </c>
      <c r="P14" s="9" t="str">
        <f aca="false">Calc!AU11</f>
        <v>Prepare shortlist and monitor</v>
      </c>
    </row>
    <row r="15" customFormat="false" ht="64.5" hidden="false" customHeight="true" outlineLevel="0" collapsed="false">
      <c r="A15" s="4" t="n">
        <f aca="false">Calc!AV12</f>
        <v>11</v>
      </c>
      <c r="B15" s="4" t="str">
        <f aca="false">Calc!A12</f>
        <v>ORG-119</v>
      </c>
      <c r="C15" s="5" t="str">
        <f aca="false">Calc!B12</f>
        <v>Cobalt Control Electronics Ltd.</v>
      </c>
      <c r="D15" s="4" t="str">
        <f aca="false">Calc!C12</f>
        <v>Tier-1</v>
      </c>
      <c r="E15" s="4" t="str">
        <f aca="false">Calc!D12</f>
        <v>Confirmed</v>
      </c>
      <c r="F15" s="6" t="n">
        <f aca="false">Calc!AH12</f>
        <v>34.5591753843912</v>
      </c>
      <c r="G15" s="6" t="n">
        <f aca="false">Calc!AI12</f>
        <v>57.3333333333333</v>
      </c>
      <c r="H15" s="6" t="n">
        <f aca="false">Calc!AJ12</f>
        <v>66.6666666666667</v>
      </c>
      <c r="I15" s="6" t="n">
        <f aca="false">Calc!AK12</f>
        <v>87.5</v>
      </c>
      <c r="J15" s="6" t="n">
        <f aca="false">Calc!AL12</f>
        <v>0</v>
      </c>
      <c r="K15" s="6" t="n">
        <f aca="false">Calc!AM12</f>
        <v>21</v>
      </c>
      <c r="L15" s="7" t="n">
        <f aca="false">Calc!AN12</f>
        <v>50.7368350768783</v>
      </c>
      <c r="M15" s="8" t="str">
        <f aca="false">Calc!AQ12</f>
        <v>Medium</v>
      </c>
      <c r="N15" s="8" t="str">
        <f aca="false">Calc!AT12</f>
        <v>High</v>
      </c>
      <c r="O15" s="9" t="s">
        <v>25</v>
      </c>
      <c r="P15" s="9" t="str">
        <f aca="false">Calc!AU12</f>
        <v>Prepare shortlist and monitor</v>
      </c>
    </row>
    <row r="16" customFormat="false" ht="64.5" hidden="false" customHeight="true" outlineLevel="0" collapsed="false">
      <c r="A16" s="4" t="n">
        <f aca="false">Calc!AV13</f>
        <v>12</v>
      </c>
      <c r="B16" s="4" t="str">
        <f aca="false">Calc!A13</f>
        <v>ORG-728</v>
      </c>
      <c r="C16" s="5" t="str">
        <f aca="false">Calc!B13</f>
        <v>Kestrel Microdevices Ltd.</v>
      </c>
      <c r="D16" s="4" t="str">
        <f aca="false">Calc!C13</f>
        <v>Tier-2</v>
      </c>
      <c r="E16" s="4" t="str">
        <f aca="false">Calc!D13</f>
        <v>Confirmed</v>
      </c>
      <c r="F16" s="6" t="n">
        <f aca="false">Calc!AH13</f>
        <v>21.4620222913238</v>
      </c>
      <c r="G16" s="6" t="n">
        <f aca="false">Calc!AI13</f>
        <v>24.3333333333333</v>
      </c>
      <c r="H16" s="6" t="n">
        <f aca="false">Calc!AJ13</f>
        <v>66.6666666666667</v>
      </c>
      <c r="I16" s="6" t="n">
        <f aca="false">Calc!AK13</f>
        <v>87.5</v>
      </c>
      <c r="J16" s="6" t="n">
        <f aca="false">Calc!AL13</f>
        <v>0</v>
      </c>
      <c r="K16" s="6" t="n">
        <f aca="false">Calc!AM13</f>
        <v>27</v>
      </c>
      <c r="L16" s="7" t="n">
        <f aca="false">Calc!AN13</f>
        <v>43.7674044582648</v>
      </c>
      <c r="M16" s="8" t="str">
        <f aca="false">Calc!AQ13</f>
        <v>Medium</v>
      </c>
      <c r="N16" s="8" t="str">
        <f aca="false">Calc!AT13</f>
        <v>Medium</v>
      </c>
      <c r="O16" s="9" t="s">
        <v>26</v>
      </c>
      <c r="P16" s="9" t="str">
        <f aca="false">Calc!AU13</f>
        <v>Prepare shortlist and monitor</v>
      </c>
    </row>
    <row r="17" customFormat="false" ht="51.75" hidden="false" customHeight="true" outlineLevel="0" collapsed="false">
      <c r="A17" s="4" t="n">
        <f aca="false">Calc!AV14</f>
        <v>13</v>
      </c>
      <c r="B17" s="4" t="str">
        <f aca="false">Calc!A14</f>
        <v>ORG-469</v>
      </c>
      <c r="C17" s="5" t="str">
        <f aca="false">Calc!B14</f>
        <v>Rill Connectors Ltd.</v>
      </c>
      <c r="D17" s="4" t="str">
        <f aca="false">Calc!C14</f>
        <v>Tier-2</v>
      </c>
      <c r="E17" s="4" t="str">
        <f aca="false">Calc!D14</f>
        <v>Confirmed</v>
      </c>
      <c r="F17" s="6" t="n">
        <f aca="false">Calc!AH14</f>
        <v>18.7618099088985</v>
      </c>
      <c r="G17" s="6" t="n">
        <f aca="false">Calc!AI14</f>
        <v>57.3333333333333</v>
      </c>
      <c r="H17" s="6" t="n">
        <f aca="false">Calc!AJ14</f>
        <v>50</v>
      </c>
      <c r="I17" s="6" t="n">
        <f aca="false">Calc!AK14</f>
        <v>87.5</v>
      </c>
      <c r="J17" s="6" t="n">
        <f aca="false">Calc!AL14</f>
        <v>0</v>
      </c>
      <c r="K17" s="6" t="n">
        <f aca="false">Calc!AM14</f>
        <v>28.5</v>
      </c>
      <c r="L17" s="7" t="n">
        <f aca="false">Calc!AN14</f>
        <v>43.3273619817797</v>
      </c>
      <c r="M17" s="8" t="str">
        <f aca="false">Calc!AQ14</f>
        <v>Medium</v>
      </c>
      <c r="N17" s="8" t="str">
        <f aca="false">Calc!AT14</f>
        <v>Medium</v>
      </c>
      <c r="O17" s="9" t="s">
        <v>27</v>
      </c>
      <c r="P17" s="9" t="str">
        <f aca="false">Calc!AU14</f>
        <v>Prepare shortlist and monitor</v>
      </c>
    </row>
    <row r="18" customFormat="false" ht="51.75" hidden="false" customHeight="true" outlineLevel="0" collapsed="false">
      <c r="A18" s="4" t="n">
        <f aca="false">Calc!AV15</f>
        <v>14</v>
      </c>
      <c r="B18" s="4" t="str">
        <f aca="false">Calc!A15</f>
        <v>ORG-849</v>
      </c>
      <c r="C18" s="5" t="str">
        <f aca="false">Calc!B15</f>
        <v>Nacre Foils Ltd.</v>
      </c>
      <c r="D18" s="4" t="str">
        <f aca="false">Calc!C15</f>
        <v>Tier-2</v>
      </c>
      <c r="E18" s="4" t="str">
        <f aca="false">Calc!D15</f>
        <v>Confirmed</v>
      </c>
      <c r="F18" s="6" t="n">
        <f aca="false">Calc!AH15</f>
        <v>43.6417542302627</v>
      </c>
      <c r="G18" s="6" t="n">
        <f aca="false">Calc!AI15</f>
        <v>60</v>
      </c>
      <c r="H18" s="6" t="n">
        <f aca="false">Calc!AJ15</f>
        <v>50</v>
      </c>
      <c r="I18" s="6" t="n">
        <f aca="false">Calc!AK15</f>
        <v>61.6666666666667</v>
      </c>
      <c r="J18" s="6" t="n">
        <f aca="false">Calc!AL15</f>
        <v>0</v>
      </c>
      <c r="K18" s="6" t="n">
        <f aca="false">Calc!AM15</f>
        <v>10.5</v>
      </c>
      <c r="L18" s="7" t="n">
        <f aca="false">Calc!AN15</f>
        <v>43.0283508460526</v>
      </c>
      <c r="M18" s="8" t="str">
        <f aca="false">Calc!AQ15</f>
        <v>Medium</v>
      </c>
      <c r="N18" s="8" t="str">
        <f aca="false">Calc!AT15</f>
        <v>Medium</v>
      </c>
      <c r="O18" s="9" t="s">
        <v>28</v>
      </c>
      <c r="P18" s="9" t="str">
        <f aca="false">Calc!AU15</f>
        <v>Prepare shortlist and monitor</v>
      </c>
    </row>
    <row r="19" customFormat="false" ht="30" hidden="false" customHeight="true" outlineLevel="0" collapsed="false">
      <c r="A19" s="4" t="n">
        <f aca="false">Calc!AV16</f>
        <v>15</v>
      </c>
      <c r="B19" s="4" t="str">
        <f aca="false">Calc!A16</f>
        <v>ORG-247</v>
      </c>
      <c r="C19" s="5" t="str">
        <f aca="false">Calc!B16</f>
        <v>Aster Power Assemblies Ltd.</v>
      </c>
      <c r="D19" s="4" t="str">
        <f aca="false">Calc!C16</f>
        <v>Tier-1</v>
      </c>
      <c r="E19" s="4" t="str">
        <f aca="false">Calc!D16</f>
        <v>Confirmed</v>
      </c>
      <c r="F19" s="6" t="n">
        <f aca="false">Calc!AH16</f>
        <v>27.5276640803256</v>
      </c>
      <c r="G19" s="6" t="n">
        <f aca="false">Calc!AI16</f>
        <v>27</v>
      </c>
      <c r="H19" s="6" t="n">
        <f aca="false">Calc!AJ16</f>
        <v>56.6666666666667</v>
      </c>
      <c r="I19" s="6" t="n">
        <f aca="false">Calc!AK16</f>
        <v>100</v>
      </c>
      <c r="J19" s="6" t="n">
        <f aca="false">Calc!AL16</f>
        <v>0</v>
      </c>
      <c r="K19" s="6" t="n">
        <f aca="false">Calc!AM16</f>
        <v>12</v>
      </c>
      <c r="L19" s="7" t="n">
        <f aca="false">Calc!AN16</f>
        <v>42.7555328160651</v>
      </c>
      <c r="M19" s="8" t="str">
        <f aca="false">Calc!AQ16</f>
        <v>Medium</v>
      </c>
      <c r="N19" s="8" t="str">
        <f aca="false">Calc!AT16</f>
        <v>High</v>
      </c>
      <c r="O19" s="9" t="s">
        <v>29</v>
      </c>
      <c r="P19" s="9" t="str">
        <f aca="false">Calc!AU16</f>
        <v>Prepare shortlist and monitor</v>
      </c>
    </row>
    <row r="20" customFormat="false" ht="51.75" hidden="false" customHeight="true" outlineLevel="0" collapsed="false">
      <c r="A20" s="4" t="n">
        <f aca="false">Calc!AV17</f>
        <v>16</v>
      </c>
      <c r="B20" s="4" t="str">
        <f aca="false">Calc!A17</f>
        <v>ORG-786</v>
      </c>
      <c r="C20" s="5" t="str">
        <f aca="false">Calc!B17</f>
        <v>Estuary Thermal Systems Ltd.</v>
      </c>
      <c r="D20" s="4" t="str">
        <f aca="false">Calc!C17</f>
        <v>Tier-1</v>
      </c>
      <c r="E20" s="4" t="str">
        <f aca="false">Calc!D17</f>
        <v>Confirmed</v>
      </c>
      <c r="F20" s="6" t="n">
        <f aca="false">Calc!AH17</f>
        <v>11.2273350200295</v>
      </c>
      <c r="G20" s="6" t="n">
        <f aca="false">Calc!AI17</f>
        <v>60</v>
      </c>
      <c r="H20" s="6" t="n">
        <f aca="false">Calc!AJ17</f>
        <v>66.6666666666667</v>
      </c>
      <c r="I20" s="6" t="n">
        <f aca="false">Calc!AK17</f>
        <v>48.75</v>
      </c>
      <c r="J20" s="6" t="n">
        <f aca="false">Calc!AL17</f>
        <v>0</v>
      </c>
      <c r="K20" s="6" t="n">
        <f aca="false">Calc!AM17</f>
        <v>30</v>
      </c>
      <c r="L20" s="7" t="n">
        <f aca="false">Calc!AN17</f>
        <v>41.5579670040059</v>
      </c>
      <c r="M20" s="8" t="str">
        <f aca="false">Calc!AQ17</f>
        <v>Medium</v>
      </c>
      <c r="N20" s="8" t="str">
        <f aca="false">Calc!AT17</f>
        <v>High</v>
      </c>
      <c r="O20" s="9" t="s">
        <v>30</v>
      </c>
      <c r="P20" s="9" t="str">
        <f aca="false">Calc!AU17</f>
        <v>Prepare shortlist and monitor</v>
      </c>
    </row>
    <row r="21" customFormat="false" ht="51.75" hidden="false" customHeight="true" outlineLevel="0" collapsed="false">
      <c r="A21" s="4" t="n">
        <f aca="false">Calc!AV18</f>
        <v>17</v>
      </c>
      <c r="B21" s="4" t="str">
        <f aca="false">Calc!A18</f>
        <v>ORG-725</v>
      </c>
      <c r="C21" s="5" t="str">
        <f aca="false">Calc!B18</f>
        <v>Boreal Power Systems Ltd.</v>
      </c>
      <c r="D21" s="4" t="str">
        <f aca="false">Calc!C18</f>
        <v>Tier-1</v>
      </c>
      <c r="E21" s="4" t="str">
        <f aca="false">Calc!D18</f>
        <v>Confirmed</v>
      </c>
      <c r="F21" s="6" t="n">
        <f aca="false">Calc!AH18</f>
        <v>35.8102130116248</v>
      </c>
      <c r="G21" s="6" t="n">
        <f aca="false">Calc!AI18</f>
        <v>24.3333333333333</v>
      </c>
      <c r="H21" s="6" t="n">
        <f aca="false">Calc!AJ18</f>
        <v>46.6666666666667</v>
      </c>
      <c r="I21" s="6" t="n">
        <f aca="false">Calc!AK18</f>
        <v>100</v>
      </c>
      <c r="J21" s="6" t="n">
        <f aca="false">Calc!AL18</f>
        <v>0</v>
      </c>
      <c r="K21" s="6" t="n">
        <f aca="false">Calc!AM18</f>
        <v>16.5</v>
      </c>
      <c r="L21" s="7" t="n">
        <f aca="false">Calc!AN18</f>
        <v>41.4620426023249</v>
      </c>
      <c r="M21" s="8" t="str">
        <f aca="false">Calc!AQ18</f>
        <v>Low</v>
      </c>
      <c r="N21" s="8" t="str">
        <f aca="false">Calc!AT18</f>
        <v>High</v>
      </c>
      <c r="O21" s="9" t="s">
        <v>31</v>
      </c>
      <c r="P21" s="9" t="str">
        <f aca="false">Calc!AU18</f>
        <v>Monitor</v>
      </c>
    </row>
    <row r="22" customFormat="false" ht="51.75" hidden="false" customHeight="true" outlineLevel="0" collapsed="false">
      <c r="A22" s="4" t="n">
        <f aca="false">Calc!AV19</f>
        <v>18</v>
      </c>
      <c r="B22" s="4" t="str">
        <f aca="false">Calc!A19</f>
        <v>ORG-274</v>
      </c>
      <c r="C22" s="5" t="str">
        <f aca="false">Calc!B19</f>
        <v>Pine Thermal Metals Ltd.</v>
      </c>
      <c r="D22" s="4" t="str">
        <f aca="false">Calc!C19</f>
        <v>Tier-2</v>
      </c>
      <c r="E22" s="4" t="str">
        <f aca="false">Calc!D19</f>
        <v>Confirmed</v>
      </c>
      <c r="F22" s="6" t="n">
        <f aca="false">Calc!AH19</f>
        <v>32.8702935601984</v>
      </c>
      <c r="G22" s="6" t="n">
        <f aca="false">Calc!AI19</f>
        <v>60</v>
      </c>
      <c r="H22" s="6" t="n">
        <f aca="false">Calc!AJ19</f>
        <v>50</v>
      </c>
      <c r="I22" s="6" t="n">
        <f aca="false">Calc!AK19</f>
        <v>48.75</v>
      </c>
      <c r="J22" s="6" t="n">
        <f aca="false">Calc!AL19</f>
        <v>0</v>
      </c>
      <c r="K22" s="6" t="n">
        <f aca="false">Calc!AM19</f>
        <v>19.5</v>
      </c>
      <c r="L22" s="7" t="n">
        <f aca="false">Calc!AN19</f>
        <v>39.8365587120397</v>
      </c>
      <c r="M22" s="8" t="str">
        <f aca="false">Calc!AQ19</f>
        <v>Low</v>
      </c>
      <c r="N22" s="8" t="str">
        <f aca="false">Calc!AT19</f>
        <v>Medium</v>
      </c>
      <c r="O22" s="9" t="s">
        <v>32</v>
      </c>
      <c r="P22" s="9" t="str">
        <f aca="false">Calc!AU19</f>
        <v>Monitor</v>
      </c>
    </row>
    <row r="23" customFormat="false" ht="39" hidden="false" customHeight="true" outlineLevel="0" collapsed="false">
      <c r="A23" s="4" t="n">
        <f aca="false">Calc!AV20</f>
        <v>19</v>
      </c>
      <c r="B23" s="4" t="str">
        <f aca="false">Calc!A20</f>
        <v>ORG-922</v>
      </c>
      <c r="C23" s="5" t="str">
        <f aca="false">Calc!B20</f>
        <v>Delta Capacitor Works Ltd.</v>
      </c>
      <c r="D23" s="4" t="str">
        <f aca="false">Calc!C20</f>
        <v>Tier-1</v>
      </c>
      <c r="E23" s="4" t="str">
        <f aca="false">Calc!D20</f>
        <v>Confirmed</v>
      </c>
      <c r="F23" s="6" t="n">
        <f aca="false">Calc!AH20</f>
        <v>20.5732379930523</v>
      </c>
      <c r="G23" s="6" t="n">
        <f aca="false">Calc!AI20</f>
        <v>23.3333333333333</v>
      </c>
      <c r="H23" s="6" t="n">
        <f aca="false">Calc!AJ20</f>
        <v>66.6666666666667</v>
      </c>
      <c r="I23" s="6" t="n">
        <f aca="false">Calc!AK20</f>
        <v>61.6666666666667</v>
      </c>
      <c r="J23" s="6" t="n">
        <f aca="false">Calc!AL20</f>
        <v>0</v>
      </c>
      <c r="K23" s="6" t="n">
        <f aca="false">Calc!AM20</f>
        <v>25.5</v>
      </c>
      <c r="L23" s="7" t="n">
        <f aca="false">Calc!AN20</f>
        <v>39.4146475986105</v>
      </c>
      <c r="M23" s="8" t="str">
        <f aca="false">Calc!AQ20</f>
        <v>Low</v>
      </c>
      <c r="N23" s="8" t="str">
        <f aca="false">Calc!AT20</f>
        <v>High</v>
      </c>
      <c r="O23" s="9" t="s">
        <v>33</v>
      </c>
      <c r="P23" s="9" t="str">
        <f aca="false">Calc!AU20</f>
        <v>Monitor</v>
      </c>
    </row>
    <row r="24" customFormat="false" ht="51.75" hidden="false" customHeight="true" outlineLevel="0" collapsed="false">
      <c r="A24" s="4" t="n">
        <f aca="false">Calc!AV21</f>
        <v>20</v>
      </c>
      <c r="B24" s="4" t="str">
        <f aca="false">Calc!A21</f>
        <v>ORG-287</v>
      </c>
      <c r="C24" s="5" t="str">
        <f aca="false">Calc!B21</f>
        <v>ForgeLine Enclosures Ltd.</v>
      </c>
      <c r="D24" s="4" t="str">
        <f aca="false">Calc!C21</f>
        <v>Tier-1</v>
      </c>
      <c r="E24" s="4" t="str">
        <f aca="false">Calc!D21</f>
        <v>Confirmed</v>
      </c>
      <c r="F24" s="6" t="n">
        <f aca="false">Calc!AH21</f>
        <v>25.3922368925051</v>
      </c>
      <c r="G24" s="6" t="n">
        <f aca="false">Calc!AI21</f>
        <v>27</v>
      </c>
      <c r="H24" s="6" t="n">
        <f aca="false">Calc!AJ21</f>
        <v>66.6666666666667</v>
      </c>
      <c r="I24" s="6" t="n">
        <f aca="false">Calc!AK21</f>
        <v>32.5</v>
      </c>
      <c r="J24" s="6" t="n">
        <f aca="false">Calc!AL21</f>
        <v>0</v>
      </c>
      <c r="K24" s="6" t="n">
        <f aca="false">Calc!AM21</f>
        <v>34.5</v>
      </c>
      <c r="L24" s="7" t="n">
        <f aca="false">Calc!AN21</f>
        <v>37.453447378501</v>
      </c>
      <c r="M24" s="8" t="str">
        <f aca="false">Calc!AQ21</f>
        <v>Low</v>
      </c>
      <c r="N24" s="8" t="str">
        <f aca="false">Calc!AT21</f>
        <v>High</v>
      </c>
      <c r="O24" s="9" t="s">
        <v>34</v>
      </c>
      <c r="P24" s="9" t="str">
        <f aca="false">Calc!AU21</f>
        <v>Monitor</v>
      </c>
    </row>
    <row r="25" customFormat="false" ht="30" hidden="false" customHeight="true" outlineLevel="0" collapsed="false">
      <c r="A25" s="4" t="n">
        <f aca="false">Calc!AV22</f>
        <v>21</v>
      </c>
      <c r="B25" s="4" t="str">
        <f aca="false">Calc!A22</f>
        <v>ORG-659</v>
      </c>
      <c r="C25" s="5" t="str">
        <f aca="false">Calc!B22</f>
        <v>Zenith Polymer Ltd.</v>
      </c>
      <c r="D25" s="4" t="str">
        <f aca="false">Calc!C22</f>
        <v>Tier-3</v>
      </c>
      <c r="E25" s="4" t="str">
        <f aca="false">Calc!D22</f>
        <v>Confirmed</v>
      </c>
      <c r="F25" s="6" t="n">
        <f aca="false">Calc!AH22</f>
        <v>11.6830065359477</v>
      </c>
      <c r="G25" s="6" t="n">
        <f aca="false">Calc!AI22</f>
        <v>23.3333333333333</v>
      </c>
      <c r="H25" s="6" t="n">
        <f aca="false">Calc!AJ22</f>
        <v>50</v>
      </c>
      <c r="I25" s="6" t="n">
        <f aca="false">Calc!AK22</f>
        <v>61.6666666666667</v>
      </c>
      <c r="J25" s="6" t="n">
        <f aca="false">Calc!AL22</f>
        <v>0</v>
      </c>
      <c r="K25" s="6" t="n">
        <f aca="false">Calc!AM22</f>
        <v>68.75</v>
      </c>
      <c r="L25" s="7" t="n">
        <f aca="false">Calc!AN22</f>
        <v>36.9616013071895</v>
      </c>
      <c r="M25" s="8" t="str">
        <f aca="false">Calc!AQ22</f>
        <v>Low</v>
      </c>
      <c r="N25" s="8" t="str">
        <f aca="false">Calc!AT22</f>
        <v>Low</v>
      </c>
      <c r="O25" s="9" t="s">
        <v>35</v>
      </c>
      <c r="P25" s="9" t="str">
        <f aca="false">Calc!AU22</f>
        <v>Monitor</v>
      </c>
    </row>
    <row r="26" customFormat="false" ht="51.75" hidden="false" customHeight="true" outlineLevel="0" collapsed="false">
      <c r="A26" s="4" t="n">
        <f aca="false">Calc!AV23</f>
        <v>22</v>
      </c>
      <c r="B26" s="4" t="str">
        <f aca="false">Calc!A23</f>
        <v>ORG-103</v>
      </c>
      <c r="C26" s="5" t="str">
        <f aca="false">Calc!B23</f>
        <v>Grove Battery Controls Ltd.</v>
      </c>
      <c r="D26" s="4" t="str">
        <f aca="false">Calc!C23</f>
        <v>Tier-1</v>
      </c>
      <c r="E26" s="4" t="str">
        <f aca="false">Calc!D23</f>
        <v>Confirmed</v>
      </c>
      <c r="F26" s="6" t="n">
        <f aca="false">Calc!AH23</f>
        <v>40.2941755996437</v>
      </c>
      <c r="G26" s="6" t="n">
        <f aca="false">Calc!AI23</f>
        <v>57.3333333333333</v>
      </c>
      <c r="H26" s="6" t="n">
        <f aca="false">Calc!AJ23</f>
        <v>26.6666666666667</v>
      </c>
      <c r="I26" s="6" t="n">
        <f aca="false">Calc!AK23</f>
        <v>50.8333333333333</v>
      </c>
      <c r="J26" s="6" t="n">
        <f aca="false">Calc!AL23</f>
        <v>0</v>
      </c>
      <c r="K26" s="6" t="n">
        <f aca="false">Calc!AM23</f>
        <v>9</v>
      </c>
      <c r="L26" s="7" t="n">
        <f aca="false">Calc!AN23</f>
        <v>33.1838351199287</v>
      </c>
      <c r="M26" s="8" t="str">
        <f aca="false">Calc!AQ23</f>
        <v>Low</v>
      </c>
      <c r="N26" s="8" t="str">
        <f aca="false">Calc!AT23</f>
        <v>High</v>
      </c>
      <c r="O26" s="9" t="s">
        <v>36</v>
      </c>
      <c r="P26" s="9" t="str">
        <f aca="false">Calc!AU23</f>
        <v>Monitor</v>
      </c>
    </row>
    <row r="27" customFormat="false" ht="51.75" hidden="false" customHeight="true" outlineLevel="0" collapsed="false">
      <c r="A27" s="4" t="n">
        <f aca="false">Calc!AV24</f>
        <v>23</v>
      </c>
      <c r="B27" s="4" t="str">
        <f aca="false">Calc!A24</f>
        <v>ORG-329</v>
      </c>
      <c r="C27" s="5" t="str">
        <f aca="false">Calc!B24</f>
        <v>Quartz Alloy Ltd.</v>
      </c>
      <c r="D27" s="4" t="str">
        <f aca="false">Calc!C24</f>
        <v>Tier-2</v>
      </c>
      <c r="E27" s="4" t="str">
        <f aca="false">Calc!D24</f>
        <v>Confirmed</v>
      </c>
      <c r="F27" s="6" t="n">
        <f aca="false">Calc!AH24</f>
        <v>20.2457548351773</v>
      </c>
      <c r="G27" s="6" t="n">
        <f aca="false">Calc!AI24</f>
        <v>27</v>
      </c>
      <c r="H27" s="6" t="n">
        <f aca="false">Calc!AJ24</f>
        <v>50</v>
      </c>
      <c r="I27" s="6" t="n">
        <f aca="false">Calc!AK24</f>
        <v>32.5</v>
      </c>
      <c r="J27" s="6" t="n">
        <f aca="false">Calc!AL24</f>
        <v>0</v>
      </c>
      <c r="K27" s="6" t="n">
        <f aca="false">Calc!AM24</f>
        <v>24</v>
      </c>
      <c r="L27" s="7" t="n">
        <f aca="false">Calc!AN24</f>
        <v>30.3741509670355</v>
      </c>
      <c r="M27" s="8" t="str">
        <f aca="false">Calc!AQ24</f>
        <v>Low</v>
      </c>
      <c r="N27" s="8" t="str">
        <f aca="false">Calc!AT24</f>
        <v>Medium</v>
      </c>
      <c r="O27" s="9" t="s">
        <v>37</v>
      </c>
      <c r="P27" s="9" t="str">
        <f aca="false">Calc!AU24</f>
        <v>Monitor</v>
      </c>
    </row>
    <row r="28" customFormat="false" ht="39" hidden="false" customHeight="true" outlineLevel="0" collapsed="false">
      <c r="A28" s="4" t="n">
        <f aca="false">Calc!AV25</f>
        <v>24</v>
      </c>
      <c r="B28" s="4" t="str">
        <f aca="false">Calc!A25</f>
        <v>ORG-176</v>
      </c>
      <c r="C28" s="5" t="str">
        <f aca="false">Calc!B25</f>
        <v>HarborSense Electronics Ltd.</v>
      </c>
      <c r="D28" s="4" t="str">
        <f aca="false">Calc!C25</f>
        <v>Tier-1</v>
      </c>
      <c r="E28" s="4" t="str">
        <f aca="false">Calc!D25</f>
        <v>Confirmed</v>
      </c>
      <c r="F28" s="6" t="n">
        <f aca="false">Calc!AH25</f>
        <v>29.7061003650461</v>
      </c>
      <c r="G28" s="6" t="n">
        <f aca="false">Calc!AI25</f>
        <v>24.3333333333333</v>
      </c>
      <c r="H28" s="6" t="n">
        <f aca="false">Calc!AJ25</f>
        <v>6.66666666666667</v>
      </c>
      <c r="I28" s="6" t="n">
        <f aca="false">Calc!AK25</f>
        <v>50.8333333333333</v>
      </c>
      <c r="J28" s="6" t="n">
        <f aca="false">Calc!AL25</f>
        <v>0</v>
      </c>
      <c r="K28" s="6" t="n">
        <f aca="false">Calc!AM25</f>
        <v>13.5</v>
      </c>
      <c r="L28" s="7" t="n">
        <f aca="false">Calc!AN25</f>
        <v>20.5662200730092</v>
      </c>
      <c r="M28" s="8" t="str">
        <f aca="false">Calc!AQ25</f>
        <v>Low</v>
      </c>
      <c r="N28" s="8" t="str">
        <f aca="false">Calc!AT25</f>
        <v>High</v>
      </c>
      <c r="O28" s="9" t="s">
        <v>38</v>
      </c>
      <c r="P28" s="9" t="str">
        <f aca="false">Calc!AU25</f>
        <v>Monitor</v>
      </c>
    </row>
    <row r="30" customFormat="false" ht="15" hidden="false" customHeight="false" outlineLevel="0" collapsed="false">
      <c r="A30" s="10" t="s">
        <v>39</v>
      </c>
    </row>
    <row r="31" customFormat="false" ht="15" hidden="false" customHeight="false" outlineLevel="0" collapsed="false">
      <c r="A31" s="10" t="s">
        <v>40</v>
      </c>
    </row>
  </sheetData>
  <mergeCells count="1">
    <mergeCell ref="A2:P2"/>
  </mergeCells>
  <conditionalFormatting sqref="F5:K28">
    <cfRule type="colorScale" priority="2">
      <colorScale>
        <cfvo type="num" val="0"/>
        <cfvo type="num" val="100"/>
        <color rgb="FFFFFFFF"/>
        <color rgb="FFF4B183"/>
      </colorScale>
    </cfRule>
  </conditionalFormatting>
  <conditionalFormatting sqref="L5:L28">
    <cfRule type="colorScale" priority="3">
      <colorScale>
        <cfvo type="num" val="20"/>
        <cfvo type="num" val="70"/>
        <color rgb="FFFFFFFF"/>
        <color rgb="FFF4B183"/>
      </colorScale>
    </cfRule>
  </conditionalFormatting>
  <conditionalFormatting sqref="M5:M28">
    <cfRule type="cellIs" priority="4" operator="equal" aboveAverage="0" equalAverage="0" bottom="0" percent="0" rank="0" text="" dxfId="0">
      <formula>"High"</formula>
    </cfRule>
    <cfRule type="cellIs" priority="5" operator="equal" aboveAverage="0" equalAverage="0" bottom="0" percent="0" rank="0" text="" dxfId="1">
      <formula>"Medium"</formula>
    </cfRule>
    <cfRule type="cellIs" priority="6" operator="equal" aboveAverage="0" equalAverage="0" bottom="0" percent="0" rank="0" text="" dxfId="2">
      <formula>"Low"</formula>
    </cfRule>
  </conditionalFormatting>
  <conditionalFormatting sqref="N5:N28">
    <cfRule type="cellIs" priority="7" operator="equal" aboveAverage="0" equalAverage="0" bottom="0" percent="0" rank="0" text="" dxfId="3">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4"/>
    <col collapsed="false" customWidth="true" hidden="false" outlineLevel="0" max="4" min="4" style="0" width="32"/>
    <col collapsed="false" customWidth="true" hidden="false" outlineLevel="0" max="5" min="5" style="0" width="30"/>
    <col collapsed="false" customWidth="true" hidden="false" outlineLevel="0" max="6" min="6" style="0" width="14"/>
    <col collapsed="false" customWidth="true" hidden="false" outlineLevel="0" max="7" min="7" style="0" width="60"/>
  </cols>
  <sheetData>
    <row r="1" customFormat="false" ht="36" hidden="false" customHeight="true" outlineLevel="0" collapsed="false">
      <c r="A1" s="3" t="s">
        <v>41</v>
      </c>
      <c r="B1" s="3" t="s">
        <v>42</v>
      </c>
      <c r="C1" s="3" t="s">
        <v>43</v>
      </c>
      <c r="D1" s="3" t="s">
        <v>44</v>
      </c>
      <c r="E1" s="3" t="s">
        <v>45</v>
      </c>
      <c r="F1" s="3" t="s">
        <v>46</v>
      </c>
      <c r="G1" s="3" t="s">
        <v>47</v>
      </c>
    </row>
    <row r="2" customFormat="false" ht="15" hidden="false" customHeight="false" outlineLevel="0" collapsed="false">
      <c r="A2" s="9" t="s">
        <v>48</v>
      </c>
      <c r="B2" s="9" t="s">
        <v>49</v>
      </c>
      <c r="C2" s="9" t="s">
        <v>50</v>
      </c>
      <c r="D2" s="9" t="s">
        <v>51</v>
      </c>
      <c r="E2" s="9" t="s">
        <v>52</v>
      </c>
      <c r="F2" s="11" t="s">
        <v>53</v>
      </c>
      <c r="G2" s="9" t="s">
        <v>54</v>
      </c>
    </row>
    <row r="3" customFormat="false" ht="15" hidden="false" customHeight="false" outlineLevel="0" collapsed="false">
      <c r="A3" s="9" t="s">
        <v>48</v>
      </c>
      <c r="B3" s="9" t="s">
        <v>49</v>
      </c>
      <c r="C3" s="9" t="s">
        <v>50</v>
      </c>
      <c r="D3" s="9" t="s">
        <v>51</v>
      </c>
      <c r="E3" s="9" t="s">
        <v>55</v>
      </c>
      <c r="F3" s="11" t="s">
        <v>53</v>
      </c>
      <c r="G3" s="9" t="s">
        <v>56</v>
      </c>
    </row>
    <row r="4" customFormat="false" ht="15" hidden="false" customHeight="false" outlineLevel="0" collapsed="false">
      <c r="A4" s="9" t="s">
        <v>48</v>
      </c>
      <c r="B4" s="9" t="s">
        <v>49</v>
      </c>
      <c r="C4" s="9" t="s">
        <v>50</v>
      </c>
      <c r="D4" s="9" t="s">
        <v>57</v>
      </c>
      <c r="E4" s="9" t="s">
        <v>58</v>
      </c>
      <c r="F4" s="11" t="s">
        <v>53</v>
      </c>
      <c r="G4" s="9" t="s">
        <v>59</v>
      </c>
    </row>
    <row r="5" customFormat="false" ht="15" hidden="false" customHeight="false" outlineLevel="0" collapsed="false">
      <c r="A5" s="9" t="s">
        <v>48</v>
      </c>
      <c r="B5" s="9" t="s">
        <v>49</v>
      </c>
      <c r="C5" s="9" t="s">
        <v>50</v>
      </c>
      <c r="D5" s="9" t="s">
        <v>60</v>
      </c>
      <c r="E5" s="9" t="s">
        <v>58</v>
      </c>
      <c r="F5" s="11" t="s">
        <v>53</v>
      </c>
      <c r="G5" s="9" t="s">
        <v>61</v>
      </c>
    </row>
    <row r="6" customFormat="false" ht="15" hidden="false" customHeight="false" outlineLevel="0" collapsed="false">
      <c r="A6" s="9" t="s">
        <v>48</v>
      </c>
      <c r="B6" s="9" t="s">
        <v>62</v>
      </c>
      <c r="C6" s="9" t="s">
        <v>63</v>
      </c>
      <c r="D6" s="9" t="s">
        <v>64</v>
      </c>
      <c r="E6" s="9" t="s">
        <v>65</v>
      </c>
      <c r="F6" s="11" t="s">
        <v>53</v>
      </c>
      <c r="G6" s="9" t="s">
        <v>66</v>
      </c>
    </row>
    <row r="7" customFormat="false" ht="15" hidden="false" customHeight="false" outlineLevel="0" collapsed="false">
      <c r="A7" s="9" t="s">
        <v>48</v>
      </c>
      <c r="B7" s="9" t="s">
        <v>62</v>
      </c>
      <c r="C7" s="9" t="s">
        <v>63</v>
      </c>
      <c r="D7" s="9" t="s">
        <v>67</v>
      </c>
      <c r="E7" s="9" t="s">
        <v>58</v>
      </c>
      <c r="F7" s="11" t="s">
        <v>53</v>
      </c>
      <c r="G7" s="9" t="s">
        <v>68</v>
      </c>
    </row>
    <row r="8" customFormat="false" ht="15" hidden="false" customHeight="false" outlineLevel="0" collapsed="false">
      <c r="A8" s="9" t="s">
        <v>48</v>
      </c>
      <c r="B8" s="9" t="s">
        <v>69</v>
      </c>
      <c r="C8" s="9" t="s">
        <v>70</v>
      </c>
      <c r="D8" s="9" t="s">
        <v>71</v>
      </c>
      <c r="E8" s="9" t="s">
        <v>58</v>
      </c>
      <c r="F8" s="11" t="s">
        <v>53</v>
      </c>
      <c r="G8" s="9" t="s">
        <v>72</v>
      </c>
    </row>
    <row r="9" customFormat="false" ht="15" hidden="false" customHeight="false" outlineLevel="0" collapsed="false">
      <c r="A9" s="9" t="s">
        <v>48</v>
      </c>
      <c r="B9" s="9" t="s">
        <v>73</v>
      </c>
      <c r="C9" s="9" t="s">
        <v>74</v>
      </c>
      <c r="D9" s="9" t="s">
        <v>75</v>
      </c>
      <c r="E9" s="9" t="s">
        <v>76</v>
      </c>
      <c r="F9" s="11" t="s">
        <v>53</v>
      </c>
      <c r="G9" s="9" t="s">
        <v>77</v>
      </c>
    </row>
    <row r="10" customFormat="false" ht="15" hidden="false" customHeight="false" outlineLevel="0" collapsed="false">
      <c r="A10" s="9" t="s">
        <v>48</v>
      </c>
      <c r="B10" s="9" t="s">
        <v>73</v>
      </c>
      <c r="C10" s="9" t="s">
        <v>74</v>
      </c>
      <c r="D10" s="9" t="s">
        <v>75</v>
      </c>
      <c r="E10" s="9" t="s">
        <v>78</v>
      </c>
      <c r="F10" s="12" t="s">
        <v>79</v>
      </c>
      <c r="G10" s="9" t="s">
        <v>80</v>
      </c>
    </row>
    <row r="11" customFormat="false" ht="15" hidden="false" customHeight="false" outlineLevel="0" collapsed="false">
      <c r="A11" s="9" t="s">
        <v>48</v>
      </c>
      <c r="B11" s="9" t="s">
        <v>73</v>
      </c>
      <c r="C11" s="9" t="s">
        <v>74</v>
      </c>
      <c r="D11" s="9" t="s">
        <v>81</v>
      </c>
      <c r="E11" s="9" t="s">
        <v>58</v>
      </c>
      <c r="F11" s="11" t="s">
        <v>53</v>
      </c>
      <c r="G11" s="9" t="s">
        <v>82</v>
      </c>
    </row>
    <row r="12" customFormat="false" ht="15" hidden="false" customHeight="false" outlineLevel="0" collapsed="false">
      <c r="A12" s="9" t="s">
        <v>48</v>
      </c>
      <c r="B12" s="9" t="s">
        <v>73</v>
      </c>
      <c r="C12" s="9" t="s">
        <v>74</v>
      </c>
      <c r="D12" s="9" t="s">
        <v>83</v>
      </c>
      <c r="E12" s="9" t="s">
        <v>84</v>
      </c>
      <c r="F12" s="11" t="s">
        <v>53</v>
      </c>
      <c r="G12" s="9" t="s">
        <v>85</v>
      </c>
    </row>
    <row r="13" customFormat="false" ht="15" hidden="false" customHeight="false" outlineLevel="0" collapsed="false">
      <c r="A13" s="9" t="s">
        <v>48</v>
      </c>
      <c r="B13" s="9" t="s">
        <v>73</v>
      </c>
      <c r="C13" s="9" t="s">
        <v>86</v>
      </c>
      <c r="D13" s="9" t="s">
        <v>75</v>
      </c>
      <c r="E13" s="9" t="s">
        <v>76</v>
      </c>
      <c r="F13" s="11" t="s">
        <v>53</v>
      </c>
      <c r="G13" s="9" t="s">
        <v>87</v>
      </c>
    </row>
    <row r="14" customFormat="false" ht="15" hidden="false" customHeight="false" outlineLevel="0" collapsed="false">
      <c r="A14" s="9" t="s">
        <v>48</v>
      </c>
      <c r="B14" s="9" t="s">
        <v>73</v>
      </c>
      <c r="C14" s="9" t="s">
        <v>86</v>
      </c>
      <c r="D14" s="9" t="s">
        <v>75</v>
      </c>
      <c r="E14" s="9" t="s">
        <v>78</v>
      </c>
      <c r="F14" s="12" t="s">
        <v>79</v>
      </c>
      <c r="G14" s="9" t="s">
        <v>88</v>
      </c>
    </row>
    <row r="15" customFormat="false" ht="15" hidden="false" customHeight="false" outlineLevel="0" collapsed="false">
      <c r="A15" s="9" t="s">
        <v>48</v>
      </c>
      <c r="B15" s="9" t="s">
        <v>73</v>
      </c>
      <c r="C15" s="9" t="s">
        <v>86</v>
      </c>
      <c r="D15" s="9" t="s">
        <v>81</v>
      </c>
      <c r="E15" s="9" t="s">
        <v>58</v>
      </c>
      <c r="F15" s="11" t="s">
        <v>53</v>
      </c>
      <c r="G15" s="9" t="s">
        <v>89</v>
      </c>
    </row>
    <row r="16" customFormat="false" ht="15" hidden="false" customHeight="false" outlineLevel="0" collapsed="false">
      <c r="A16" s="9" t="s">
        <v>48</v>
      </c>
      <c r="B16" s="9" t="s">
        <v>73</v>
      </c>
      <c r="C16" s="9" t="s">
        <v>86</v>
      </c>
      <c r="D16" s="9" t="s">
        <v>83</v>
      </c>
      <c r="E16" s="9" t="s">
        <v>84</v>
      </c>
      <c r="F16" s="11" t="s">
        <v>53</v>
      </c>
      <c r="G16" s="9" t="s">
        <v>90</v>
      </c>
    </row>
    <row r="17" customFormat="false" ht="23.85" hidden="false" customHeight="false" outlineLevel="0" collapsed="false">
      <c r="A17" s="9" t="s">
        <v>91</v>
      </c>
      <c r="B17" s="9" t="s">
        <v>49</v>
      </c>
      <c r="C17" s="9" t="s">
        <v>50</v>
      </c>
      <c r="D17" s="9" t="s">
        <v>51</v>
      </c>
      <c r="E17" s="9" t="s">
        <v>52</v>
      </c>
      <c r="F17" s="11" t="s">
        <v>53</v>
      </c>
      <c r="G17" s="9" t="s">
        <v>54</v>
      </c>
    </row>
    <row r="18" customFormat="false" ht="23.85" hidden="false" customHeight="false" outlineLevel="0" collapsed="false">
      <c r="A18" s="9" t="s">
        <v>91</v>
      </c>
      <c r="B18" s="9" t="s">
        <v>49</v>
      </c>
      <c r="C18" s="9" t="s">
        <v>50</v>
      </c>
      <c r="D18" s="9" t="s">
        <v>51</v>
      </c>
      <c r="E18" s="9" t="s">
        <v>55</v>
      </c>
      <c r="F18" s="11" t="s">
        <v>53</v>
      </c>
      <c r="G18" s="9" t="s">
        <v>56</v>
      </c>
    </row>
    <row r="19" customFormat="false" ht="23.85" hidden="false" customHeight="false" outlineLevel="0" collapsed="false">
      <c r="A19" s="9" t="s">
        <v>91</v>
      </c>
      <c r="B19" s="9" t="s">
        <v>49</v>
      </c>
      <c r="C19" s="9" t="s">
        <v>50</v>
      </c>
      <c r="D19" s="9" t="s">
        <v>57</v>
      </c>
      <c r="E19" s="9" t="s">
        <v>58</v>
      </c>
      <c r="F19" s="11" t="s">
        <v>53</v>
      </c>
      <c r="G19" s="9" t="s">
        <v>59</v>
      </c>
    </row>
    <row r="20" customFormat="false" ht="23.85" hidden="false" customHeight="false" outlineLevel="0" collapsed="false">
      <c r="A20" s="9" t="s">
        <v>91</v>
      </c>
      <c r="B20" s="9" t="s">
        <v>49</v>
      </c>
      <c r="C20" s="9" t="s">
        <v>50</v>
      </c>
      <c r="D20" s="9" t="s">
        <v>60</v>
      </c>
      <c r="E20" s="9" t="s">
        <v>58</v>
      </c>
      <c r="F20" s="11" t="s">
        <v>53</v>
      </c>
      <c r="G20" s="9" t="s">
        <v>61</v>
      </c>
    </row>
    <row r="21" customFormat="false" ht="23.85" hidden="false" customHeight="false" outlineLevel="0" collapsed="false">
      <c r="A21" s="9" t="s">
        <v>91</v>
      </c>
      <c r="B21" s="9" t="s">
        <v>62</v>
      </c>
      <c r="C21" s="9" t="s">
        <v>63</v>
      </c>
      <c r="D21" s="9" t="s">
        <v>64</v>
      </c>
      <c r="E21" s="9" t="s">
        <v>65</v>
      </c>
      <c r="F21" s="11" t="s">
        <v>53</v>
      </c>
      <c r="G21" s="9" t="s">
        <v>66</v>
      </c>
    </row>
    <row r="22" customFormat="false" ht="23.85" hidden="false" customHeight="false" outlineLevel="0" collapsed="false">
      <c r="A22" s="9" t="s">
        <v>91</v>
      </c>
      <c r="B22" s="9" t="s">
        <v>62</v>
      </c>
      <c r="C22" s="9" t="s">
        <v>63</v>
      </c>
      <c r="D22" s="9" t="s">
        <v>67</v>
      </c>
      <c r="E22" s="9" t="s">
        <v>58</v>
      </c>
      <c r="F22" s="11" t="s">
        <v>53</v>
      </c>
      <c r="G22" s="9" t="s">
        <v>68</v>
      </c>
    </row>
    <row r="23" customFormat="false" ht="23.85" hidden="false" customHeight="false" outlineLevel="0" collapsed="false">
      <c r="A23" s="9" t="s">
        <v>91</v>
      </c>
      <c r="B23" s="9" t="s">
        <v>92</v>
      </c>
      <c r="C23" s="9" t="s">
        <v>93</v>
      </c>
      <c r="D23" s="9" t="s">
        <v>94</v>
      </c>
      <c r="E23" s="9" t="s">
        <v>58</v>
      </c>
      <c r="F23" s="11" t="s">
        <v>53</v>
      </c>
      <c r="G23" s="9" t="s">
        <v>95</v>
      </c>
    </row>
    <row r="24" customFormat="false" ht="23.85" hidden="false" customHeight="false" outlineLevel="0" collapsed="false">
      <c r="A24" s="9" t="s">
        <v>91</v>
      </c>
      <c r="B24" s="9" t="s">
        <v>96</v>
      </c>
      <c r="C24" s="9" t="s">
        <v>97</v>
      </c>
      <c r="D24" s="9" t="s">
        <v>75</v>
      </c>
      <c r="E24" s="9" t="s">
        <v>76</v>
      </c>
      <c r="F24" s="11" t="s">
        <v>53</v>
      </c>
      <c r="G24" s="9" t="s">
        <v>98</v>
      </c>
    </row>
    <row r="25" customFormat="false" ht="23.85" hidden="false" customHeight="false" outlineLevel="0" collapsed="false">
      <c r="A25" s="9" t="s">
        <v>91</v>
      </c>
      <c r="B25" s="9" t="s">
        <v>96</v>
      </c>
      <c r="C25" s="9" t="s">
        <v>97</v>
      </c>
      <c r="D25" s="9" t="s">
        <v>75</v>
      </c>
      <c r="E25" s="9" t="s">
        <v>78</v>
      </c>
      <c r="F25" s="12" t="s">
        <v>79</v>
      </c>
      <c r="G25" s="9" t="s">
        <v>99</v>
      </c>
    </row>
    <row r="26" customFormat="false" ht="23.85" hidden="false" customHeight="false" outlineLevel="0" collapsed="false">
      <c r="A26" s="9" t="s">
        <v>91</v>
      </c>
      <c r="B26" s="9" t="s">
        <v>96</v>
      </c>
      <c r="C26" s="9" t="s">
        <v>97</v>
      </c>
      <c r="D26" s="9" t="s">
        <v>81</v>
      </c>
      <c r="E26" s="9" t="s">
        <v>58</v>
      </c>
      <c r="F26" s="11" t="s">
        <v>53</v>
      </c>
      <c r="G26" s="9" t="s">
        <v>100</v>
      </c>
    </row>
    <row r="27" customFormat="false" ht="23.85" hidden="false" customHeight="false" outlineLevel="0" collapsed="false">
      <c r="A27" s="9" t="s">
        <v>91</v>
      </c>
      <c r="B27" s="9" t="s">
        <v>96</v>
      </c>
      <c r="C27" s="9" t="s">
        <v>97</v>
      </c>
      <c r="D27" s="9" t="s">
        <v>83</v>
      </c>
      <c r="E27" s="9" t="s">
        <v>84</v>
      </c>
      <c r="F27" s="11" t="s">
        <v>53</v>
      </c>
      <c r="G27" s="9" t="s">
        <v>101</v>
      </c>
    </row>
    <row r="28" customFormat="false" ht="23.85" hidden="false" customHeight="false" outlineLevel="0" collapsed="false">
      <c r="A28" s="9" t="s">
        <v>91</v>
      </c>
      <c r="B28" s="9" t="s">
        <v>96</v>
      </c>
      <c r="C28" s="9" t="s">
        <v>102</v>
      </c>
      <c r="D28" s="9" t="s">
        <v>75</v>
      </c>
      <c r="E28" s="9" t="s">
        <v>76</v>
      </c>
      <c r="F28" s="11" t="s">
        <v>53</v>
      </c>
      <c r="G28" s="9" t="s">
        <v>103</v>
      </c>
    </row>
    <row r="29" customFormat="false" ht="23.85" hidden="false" customHeight="false" outlineLevel="0" collapsed="false">
      <c r="A29" s="9" t="s">
        <v>91</v>
      </c>
      <c r="B29" s="9" t="s">
        <v>96</v>
      </c>
      <c r="C29" s="9" t="s">
        <v>102</v>
      </c>
      <c r="D29" s="9" t="s">
        <v>75</v>
      </c>
      <c r="E29" s="9" t="s">
        <v>78</v>
      </c>
      <c r="F29" s="12" t="s">
        <v>79</v>
      </c>
      <c r="G29" s="9" t="s">
        <v>104</v>
      </c>
    </row>
    <row r="30" customFormat="false" ht="23.85" hidden="false" customHeight="false" outlineLevel="0" collapsed="false">
      <c r="A30" s="9" t="s">
        <v>91</v>
      </c>
      <c r="B30" s="9" t="s">
        <v>96</v>
      </c>
      <c r="C30" s="9" t="s">
        <v>102</v>
      </c>
      <c r="D30" s="9" t="s">
        <v>81</v>
      </c>
      <c r="E30" s="9" t="s">
        <v>58</v>
      </c>
      <c r="F30" s="11" t="s">
        <v>53</v>
      </c>
      <c r="G30" s="9" t="s">
        <v>105</v>
      </c>
    </row>
    <row r="31" customFormat="false" ht="23.85" hidden="false" customHeight="false" outlineLevel="0" collapsed="false">
      <c r="A31" s="9" t="s">
        <v>91</v>
      </c>
      <c r="B31" s="9" t="s">
        <v>96</v>
      </c>
      <c r="C31" s="9" t="s">
        <v>102</v>
      </c>
      <c r="D31" s="9" t="s">
        <v>83</v>
      </c>
      <c r="E31" s="9" t="s">
        <v>84</v>
      </c>
      <c r="F31" s="11" t="s">
        <v>53</v>
      </c>
      <c r="G31" s="9" t="s">
        <v>106</v>
      </c>
    </row>
    <row r="32" customFormat="false" ht="15" hidden="false" customHeight="false" outlineLevel="0" collapsed="false">
      <c r="A32" s="9" t="s">
        <v>107</v>
      </c>
      <c r="B32" s="9" t="s">
        <v>108</v>
      </c>
      <c r="C32" s="9" t="s">
        <v>109</v>
      </c>
      <c r="D32" s="9" t="s">
        <v>51</v>
      </c>
      <c r="E32" s="9" t="s">
        <v>52</v>
      </c>
      <c r="F32" s="11" t="s">
        <v>53</v>
      </c>
      <c r="G32" s="9" t="s">
        <v>110</v>
      </c>
    </row>
    <row r="33" customFormat="false" ht="15" hidden="false" customHeight="false" outlineLevel="0" collapsed="false">
      <c r="A33" s="9" t="s">
        <v>107</v>
      </c>
      <c r="B33" s="9" t="s">
        <v>108</v>
      </c>
      <c r="C33" s="9" t="s">
        <v>109</v>
      </c>
      <c r="D33" s="9" t="s">
        <v>51</v>
      </c>
      <c r="E33" s="9" t="s">
        <v>55</v>
      </c>
      <c r="F33" s="11" t="s">
        <v>53</v>
      </c>
      <c r="G33" s="9" t="s">
        <v>111</v>
      </c>
    </row>
    <row r="34" customFormat="false" ht="15" hidden="false" customHeight="false" outlineLevel="0" collapsed="false">
      <c r="A34" s="9" t="s">
        <v>107</v>
      </c>
      <c r="B34" s="9" t="s">
        <v>108</v>
      </c>
      <c r="C34" s="9" t="s">
        <v>109</v>
      </c>
      <c r="D34" s="9" t="s">
        <v>57</v>
      </c>
      <c r="E34" s="9" t="s">
        <v>58</v>
      </c>
      <c r="F34" s="11" t="s">
        <v>53</v>
      </c>
      <c r="G34" s="9" t="s">
        <v>112</v>
      </c>
    </row>
    <row r="35" customFormat="false" ht="15" hidden="false" customHeight="false" outlineLevel="0" collapsed="false">
      <c r="A35" s="9" t="s">
        <v>107</v>
      </c>
      <c r="B35" s="9" t="s">
        <v>108</v>
      </c>
      <c r="C35" s="9" t="s">
        <v>113</v>
      </c>
      <c r="D35" s="9" t="s">
        <v>51</v>
      </c>
      <c r="E35" s="9" t="s">
        <v>52</v>
      </c>
      <c r="F35" s="11" t="s">
        <v>53</v>
      </c>
      <c r="G35" s="9" t="s">
        <v>114</v>
      </c>
    </row>
    <row r="36" customFormat="false" ht="15" hidden="false" customHeight="false" outlineLevel="0" collapsed="false">
      <c r="A36" s="9" t="s">
        <v>107</v>
      </c>
      <c r="B36" s="9" t="s">
        <v>108</v>
      </c>
      <c r="C36" s="9" t="s">
        <v>113</v>
      </c>
      <c r="D36" s="9" t="s">
        <v>51</v>
      </c>
      <c r="E36" s="9" t="s">
        <v>55</v>
      </c>
      <c r="F36" s="11" t="s">
        <v>53</v>
      </c>
      <c r="G36" s="9" t="s">
        <v>115</v>
      </c>
    </row>
    <row r="37" customFormat="false" ht="15" hidden="false" customHeight="false" outlineLevel="0" collapsed="false">
      <c r="A37" s="9" t="s">
        <v>107</v>
      </c>
      <c r="B37" s="9" t="s">
        <v>49</v>
      </c>
      <c r="C37" s="9" t="s">
        <v>50</v>
      </c>
      <c r="D37" s="9" t="s">
        <v>51</v>
      </c>
      <c r="E37" s="9" t="s">
        <v>52</v>
      </c>
      <c r="F37" s="11" t="s">
        <v>53</v>
      </c>
      <c r="G37" s="9" t="s">
        <v>54</v>
      </c>
    </row>
    <row r="38" customFormat="false" ht="15" hidden="false" customHeight="false" outlineLevel="0" collapsed="false">
      <c r="A38" s="9" t="s">
        <v>107</v>
      </c>
      <c r="B38" s="9" t="s">
        <v>49</v>
      </c>
      <c r="C38" s="9" t="s">
        <v>50</v>
      </c>
      <c r="D38" s="9" t="s">
        <v>51</v>
      </c>
      <c r="E38" s="9" t="s">
        <v>55</v>
      </c>
      <c r="F38" s="11" t="s">
        <v>53</v>
      </c>
      <c r="G38" s="9" t="s">
        <v>56</v>
      </c>
    </row>
    <row r="39" customFormat="false" ht="15" hidden="false" customHeight="false" outlineLevel="0" collapsed="false">
      <c r="A39" s="9" t="s">
        <v>107</v>
      </c>
      <c r="B39" s="9" t="s">
        <v>49</v>
      </c>
      <c r="C39" s="9" t="s">
        <v>50</v>
      </c>
      <c r="D39" s="9" t="s">
        <v>57</v>
      </c>
      <c r="E39" s="9" t="s">
        <v>58</v>
      </c>
      <c r="F39" s="11" t="s">
        <v>53</v>
      </c>
      <c r="G39" s="9" t="s">
        <v>59</v>
      </c>
    </row>
    <row r="40" customFormat="false" ht="15" hidden="false" customHeight="false" outlineLevel="0" collapsed="false">
      <c r="A40" s="9" t="s">
        <v>107</v>
      </c>
      <c r="B40" s="9" t="s">
        <v>49</v>
      </c>
      <c r="C40" s="9" t="s">
        <v>50</v>
      </c>
      <c r="D40" s="9" t="s">
        <v>60</v>
      </c>
      <c r="E40" s="9" t="s">
        <v>58</v>
      </c>
      <c r="F40" s="11" t="s">
        <v>53</v>
      </c>
      <c r="G40" s="9" t="s">
        <v>61</v>
      </c>
    </row>
    <row r="41" customFormat="false" ht="15" hidden="false" customHeight="false" outlineLevel="0" collapsed="false">
      <c r="A41" s="9" t="s">
        <v>107</v>
      </c>
      <c r="B41" s="9" t="s">
        <v>92</v>
      </c>
      <c r="C41" s="9" t="s">
        <v>93</v>
      </c>
      <c r="D41" s="9" t="s">
        <v>94</v>
      </c>
      <c r="E41" s="9" t="s">
        <v>58</v>
      </c>
      <c r="F41" s="11" t="s">
        <v>53</v>
      </c>
      <c r="G41" s="9" t="s">
        <v>95</v>
      </c>
    </row>
    <row r="42" customFormat="false" ht="15" hidden="false" customHeight="false" outlineLevel="0" collapsed="false">
      <c r="A42" s="9" t="s">
        <v>107</v>
      </c>
      <c r="B42" s="9" t="s">
        <v>73</v>
      </c>
      <c r="C42" s="9" t="s">
        <v>74</v>
      </c>
      <c r="D42" s="9" t="s">
        <v>75</v>
      </c>
      <c r="E42" s="9" t="s">
        <v>76</v>
      </c>
      <c r="F42" s="11" t="s">
        <v>53</v>
      </c>
      <c r="G42" s="9" t="s">
        <v>77</v>
      </c>
    </row>
    <row r="43" customFormat="false" ht="15" hidden="false" customHeight="false" outlineLevel="0" collapsed="false">
      <c r="A43" s="9" t="s">
        <v>107</v>
      </c>
      <c r="B43" s="9" t="s">
        <v>73</v>
      </c>
      <c r="C43" s="9" t="s">
        <v>74</v>
      </c>
      <c r="D43" s="9" t="s">
        <v>75</v>
      </c>
      <c r="E43" s="9" t="s">
        <v>78</v>
      </c>
      <c r="F43" s="12" t="s">
        <v>79</v>
      </c>
      <c r="G43" s="9" t="s">
        <v>80</v>
      </c>
    </row>
    <row r="44" customFormat="false" ht="15" hidden="false" customHeight="false" outlineLevel="0" collapsed="false">
      <c r="A44" s="9" t="s">
        <v>107</v>
      </c>
      <c r="B44" s="9" t="s">
        <v>73</v>
      </c>
      <c r="C44" s="9" t="s">
        <v>74</v>
      </c>
      <c r="D44" s="9" t="s">
        <v>81</v>
      </c>
      <c r="E44" s="9" t="s">
        <v>58</v>
      </c>
      <c r="F44" s="11" t="s">
        <v>53</v>
      </c>
      <c r="G44" s="9" t="s">
        <v>82</v>
      </c>
    </row>
    <row r="45" customFormat="false" ht="15" hidden="false" customHeight="false" outlineLevel="0" collapsed="false">
      <c r="A45" s="9" t="s">
        <v>107</v>
      </c>
      <c r="B45" s="9" t="s">
        <v>73</v>
      </c>
      <c r="C45" s="9" t="s">
        <v>74</v>
      </c>
      <c r="D45" s="9" t="s">
        <v>83</v>
      </c>
      <c r="E45" s="9" t="s">
        <v>84</v>
      </c>
      <c r="F45" s="11" t="s">
        <v>53</v>
      </c>
      <c r="G45" s="9" t="s">
        <v>85</v>
      </c>
    </row>
    <row r="46" customFormat="false" ht="15" hidden="false" customHeight="false" outlineLevel="0" collapsed="false">
      <c r="A46" s="9" t="s">
        <v>107</v>
      </c>
      <c r="B46" s="9" t="s">
        <v>73</v>
      </c>
      <c r="C46" s="9" t="s">
        <v>86</v>
      </c>
      <c r="D46" s="9" t="s">
        <v>75</v>
      </c>
      <c r="E46" s="9" t="s">
        <v>76</v>
      </c>
      <c r="F46" s="11" t="s">
        <v>53</v>
      </c>
      <c r="G46" s="9" t="s">
        <v>87</v>
      </c>
    </row>
    <row r="47" customFormat="false" ht="15" hidden="false" customHeight="false" outlineLevel="0" collapsed="false">
      <c r="A47" s="9" t="s">
        <v>107</v>
      </c>
      <c r="B47" s="9" t="s">
        <v>73</v>
      </c>
      <c r="C47" s="9" t="s">
        <v>86</v>
      </c>
      <c r="D47" s="9" t="s">
        <v>75</v>
      </c>
      <c r="E47" s="9" t="s">
        <v>78</v>
      </c>
      <c r="F47" s="12" t="s">
        <v>79</v>
      </c>
      <c r="G47" s="9" t="s">
        <v>88</v>
      </c>
    </row>
    <row r="48" customFormat="false" ht="15" hidden="false" customHeight="false" outlineLevel="0" collapsed="false">
      <c r="A48" s="9" t="s">
        <v>107</v>
      </c>
      <c r="B48" s="9" t="s">
        <v>73</v>
      </c>
      <c r="C48" s="9" t="s">
        <v>86</v>
      </c>
      <c r="D48" s="9" t="s">
        <v>81</v>
      </c>
      <c r="E48" s="9" t="s">
        <v>58</v>
      </c>
      <c r="F48" s="11" t="s">
        <v>53</v>
      </c>
      <c r="G48" s="9" t="s">
        <v>89</v>
      </c>
    </row>
    <row r="49" customFormat="false" ht="15" hidden="false" customHeight="false" outlineLevel="0" collapsed="false">
      <c r="A49" s="9" t="s">
        <v>107</v>
      </c>
      <c r="B49" s="9" t="s">
        <v>73</v>
      </c>
      <c r="C49" s="9" t="s">
        <v>86</v>
      </c>
      <c r="D49" s="9" t="s">
        <v>83</v>
      </c>
      <c r="E49" s="9" t="s">
        <v>84</v>
      </c>
      <c r="F49" s="11" t="s">
        <v>53</v>
      </c>
      <c r="G49" s="9" t="s">
        <v>90</v>
      </c>
    </row>
    <row r="51" customFormat="false" ht="15" hidden="false" customHeight="false" outlineLevel="0" collapsed="false">
      <c r="A51" s="10" t="s">
        <v>116</v>
      </c>
    </row>
  </sheetData>
  <autoFilter ref="A1:G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4"/>
    <col collapsed="false" customWidth="true" hidden="false" outlineLevel="0" max="4" min="4" style="0" width="56"/>
    <col collapsed="false" customWidth="true" hidden="false" outlineLevel="0" max="5" min="5" style="0" width="20"/>
    <col collapsed="false" customWidth="true" hidden="false" outlineLevel="0" max="6" min="6" style="0" width="36"/>
    <col collapsed="false" customWidth="true" hidden="false" outlineLevel="0" max="7" min="7" style="0" width="28"/>
    <col collapsed="false" customWidth="true" hidden="false" outlineLevel="0" max="8" min="8" style="0" width="56"/>
    <col collapsed="false" customWidth="true" hidden="false" outlineLevel="0" max="9" min="9" style="0" width="20"/>
  </cols>
  <sheetData>
    <row r="1" customFormat="false" ht="36" hidden="false" customHeight="true" outlineLevel="0" collapsed="false">
      <c r="A1" s="3" t="s">
        <v>117</v>
      </c>
      <c r="B1" s="3" t="s">
        <v>118</v>
      </c>
      <c r="C1" s="3" t="s">
        <v>119</v>
      </c>
      <c r="D1" s="3" t="s">
        <v>120</v>
      </c>
      <c r="E1" s="3" t="s">
        <v>121</v>
      </c>
      <c r="F1" s="3" t="s">
        <v>122</v>
      </c>
      <c r="G1" s="3" t="s">
        <v>123</v>
      </c>
      <c r="H1" s="3" t="s">
        <v>124</v>
      </c>
      <c r="I1" s="3" t="s">
        <v>125</v>
      </c>
    </row>
    <row r="2" customFormat="false" ht="90" hidden="false" customHeight="true" outlineLevel="0" collapsed="false">
      <c r="A2" s="9" t="s">
        <v>126</v>
      </c>
      <c r="B2" s="9" t="s">
        <v>127</v>
      </c>
      <c r="C2" s="9" t="s">
        <v>128</v>
      </c>
      <c r="D2" s="9" t="s">
        <v>129</v>
      </c>
      <c r="E2" s="9" t="s">
        <v>130</v>
      </c>
      <c r="F2" s="9" t="s">
        <v>131</v>
      </c>
      <c r="G2" s="9" t="s">
        <v>132</v>
      </c>
      <c r="H2" s="9" t="s">
        <v>133</v>
      </c>
      <c r="I2" s="9" t="s">
        <v>53</v>
      </c>
    </row>
    <row r="3" customFormat="false" ht="90" hidden="false" customHeight="true" outlineLevel="0" collapsed="false">
      <c r="A3" s="9" t="s">
        <v>134</v>
      </c>
      <c r="B3" s="9" t="s">
        <v>127</v>
      </c>
      <c r="C3" s="9" t="s">
        <v>135</v>
      </c>
      <c r="D3" s="9" t="s">
        <v>136</v>
      </c>
      <c r="E3" s="9" t="s">
        <v>137</v>
      </c>
      <c r="F3" s="9" t="s">
        <v>138</v>
      </c>
      <c r="G3" s="9" t="s">
        <v>139</v>
      </c>
      <c r="H3" s="9" t="s">
        <v>140</v>
      </c>
      <c r="I3" s="9" t="s">
        <v>141</v>
      </c>
    </row>
    <row r="4" customFormat="false" ht="90" hidden="false" customHeight="true" outlineLevel="0" collapsed="false">
      <c r="A4" s="9" t="s">
        <v>142</v>
      </c>
      <c r="B4" s="9" t="s">
        <v>143</v>
      </c>
      <c r="C4" s="9" t="s">
        <v>144</v>
      </c>
      <c r="D4" s="9" t="s">
        <v>145</v>
      </c>
      <c r="E4" s="9" t="s">
        <v>146</v>
      </c>
      <c r="F4" s="9" t="s">
        <v>147</v>
      </c>
      <c r="G4" s="9" t="s">
        <v>148</v>
      </c>
      <c r="H4" s="9" t="s">
        <v>149</v>
      </c>
      <c r="I4" s="9" t="s">
        <v>53</v>
      </c>
    </row>
    <row r="5" customFormat="false" ht="90" hidden="false" customHeight="true" outlineLevel="0" collapsed="false">
      <c r="A5" s="9" t="s">
        <v>150</v>
      </c>
      <c r="B5" s="9" t="s">
        <v>143</v>
      </c>
      <c r="C5" s="9" t="s">
        <v>151</v>
      </c>
      <c r="D5" s="9" t="s">
        <v>152</v>
      </c>
      <c r="E5" s="9" t="s">
        <v>153</v>
      </c>
      <c r="F5" s="9" t="s">
        <v>154</v>
      </c>
      <c r="G5" s="9" t="s">
        <v>155</v>
      </c>
      <c r="H5" s="9" t="s">
        <v>156</v>
      </c>
      <c r="I5" s="9" t="s">
        <v>157</v>
      </c>
    </row>
    <row r="6" customFormat="false" ht="90" hidden="false" customHeight="true" outlineLevel="0" collapsed="false">
      <c r="A6" s="9" t="s">
        <v>158</v>
      </c>
      <c r="B6" s="9" t="s">
        <v>159</v>
      </c>
      <c r="C6" s="9" t="s">
        <v>160</v>
      </c>
      <c r="D6" s="9" t="s">
        <v>161</v>
      </c>
      <c r="E6" s="9" t="s">
        <v>162</v>
      </c>
      <c r="F6" s="9" t="s">
        <v>163</v>
      </c>
      <c r="G6" s="9" t="s">
        <v>164</v>
      </c>
      <c r="H6" s="9" t="s">
        <v>165</v>
      </c>
      <c r="I6" s="9" t="s">
        <v>53</v>
      </c>
    </row>
    <row r="7" customFormat="false" ht="90" hidden="false" customHeight="true" outlineLevel="0" collapsed="false">
      <c r="A7" s="9" t="s">
        <v>166</v>
      </c>
      <c r="B7" s="9" t="s">
        <v>159</v>
      </c>
      <c r="C7" s="9" t="s">
        <v>167</v>
      </c>
      <c r="D7" s="9" t="s">
        <v>168</v>
      </c>
      <c r="E7" s="9" t="s">
        <v>169</v>
      </c>
      <c r="F7" s="9" t="s">
        <v>170</v>
      </c>
      <c r="G7" s="9" t="s">
        <v>171</v>
      </c>
      <c r="H7" s="9" t="s">
        <v>172</v>
      </c>
      <c r="I7" s="9" t="s">
        <v>173</v>
      </c>
    </row>
    <row r="9" customFormat="false" ht="15" hidden="false" customHeight="false" outlineLevel="0" collapsed="false">
      <c r="A9" s="10"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2"/>
    <col collapsed="false" customWidth="true" hidden="false" outlineLevel="0" max="46" min="3" style="0" width="13"/>
    <col collapsed="false" customWidth="true" hidden="false" outlineLevel="0" max="47" min="47" style="0" width="44"/>
    <col collapsed="false" customWidth="true" hidden="false" outlineLevel="0" max="50" min="48" style="0" width="13"/>
  </cols>
  <sheetData>
    <row r="1" customFormat="false" ht="60" hidden="false" customHeight="true" outlineLevel="0" collapsed="false">
      <c r="A1" s="3" t="s">
        <v>3</v>
      </c>
      <c r="B1" s="3" t="s">
        <v>4</v>
      </c>
      <c r="C1" s="3" t="s">
        <v>5</v>
      </c>
      <c r="D1" s="3" t="s">
        <v>6</v>
      </c>
      <c r="E1" s="3" t="s">
        <v>175</v>
      </c>
      <c r="F1" s="3" t="s">
        <v>176</v>
      </c>
      <c r="G1" s="3" t="s">
        <v>177</v>
      </c>
      <c r="H1" s="3" t="s">
        <v>178</v>
      </c>
      <c r="I1" s="3" t="s">
        <v>179</v>
      </c>
      <c r="J1" s="3" t="s">
        <v>180</v>
      </c>
      <c r="K1" s="3" t="s">
        <v>181</v>
      </c>
      <c r="L1" s="3" t="s">
        <v>182</v>
      </c>
      <c r="M1" s="3" t="s">
        <v>183</v>
      </c>
      <c r="N1" s="3" t="s">
        <v>184</v>
      </c>
      <c r="O1" s="3" t="s">
        <v>185</v>
      </c>
      <c r="P1" s="3" t="s">
        <v>186</v>
      </c>
      <c r="Q1" s="3" t="s">
        <v>187</v>
      </c>
      <c r="R1" s="3" t="s">
        <v>188</v>
      </c>
      <c r="S1" s="3" t="s">
        <v>189</v>
      </c>
      <c r="T1" s="3" t="s">
        <v>190</v>
      </c>
      <c r="U1" s="3" t="s">
        <v>191</v>
      </c>
      <c r="V1" s="3" t="s">
        <v>192</v>
      </c>
      <c r="W1" s="3" t="s">
        <v>193</v>
      </c>
      <c r="X1" s="3" t="s">
        <v>194</v>
      </c>
      <c r="Y1" s="3" t="s">
        <v>195</v>
      </c>
      <c r="Z1" s="3" t="s">
        <v>196</v>
      </c>
      <c r="AA1" s="3" t="s">
        <v>197</v>
      </c>
      <c r="AB1" s="3" t="s">
        <v>198</v>
      </c>
      <c r="AC1" s="3" t="s">
        <v>199</v>
      </c>
      <c r="AD1" s="3" t="s">
        <v>200</v>
      </c>
      <c r="AE1" s="3" t="s">
        <v>201</v>
      </c>
      <c r="AF1" s="3" t="s">
        <v>202</v>
      </c>
      <c r="AG1" s="3" t="s">
        <v>203</v>
      </c>
      <c r="AH1" s="3" t="s">
        <v>7</v>
      </c>
      <c r="AI1" s="3" t="s">
        <v>8</v>
      </c>
      <c r="AJ1" s="3" t="s">
        <v>9</v>
      </c>
      <c r="AK1" s="3" t="s">
        <v>10</v>
      </c>
      <c r="AL1" s="3" t="s">
        <v>11</v>
      </c>
      <c r="AM1" s="3" t="s">
        <v>12</v>
      </c>
      <c r="AN1" s="3" t="s">
        <v>204</v>
      </c>
      <c r="AO1" s="3" t="s">
        <v>205</v>
      </c>
      <c r="AP1" s="3" t="s">
        <v>206</v>
      </c>
      <c r="AQ1" s="3" t="s">
        <v>14</v>
      </c>
      <c r="AR1" s="3" t="s">
        <v>207</v>
      </c>
      <c r="AS1" s="3" t="s">
        <v>208</v>
      </c>
      <c r="AT1" s="3" t="s">
        <v>15</v>
      </c>
      <c r="AU1" s="3" t="s">
        <v>17</v>
      </c>
      <c r="AV1" s="3" t="s">
        <v>209</v>
      </c>
      <c r="AW1" s="3" t="s">
        <v>210</v>
      </c>
      <c r="AX1" s="3" t="s">
        <v>211</v>
      </c>
    </row>
    <row r="2" customFormat="false" ht="15" hidden="false" customHeight="false" outlineLevel="0" collapsed="false">
      <c r="A2" s="13" t="s">
        <v>212</v>
      </c>
      <c r="B2" s="13" t="s">
        <v>51</v>
      </c>
      <c r="C2" s="13" t="s">
        <v>213</v>
      </c>
      <c r="D2" s="13" t="s">
        <v>53</v>
      </c>
      <c r="E2" s="13" t="s">
        <v>214</v>
      </c>
      <c r="F2" s="13" t="n">
        <f aca="false">MATCH(A2,Indicators!$A$2:$A$31,0)</f>
        <v>15</v>
      </c>
      <c r="G2" s="13" t="n">
        <f aca="false">IF(INDEX(Indicators!$C$2:$C$31,$F2)="","",INDEX(Indicators!$C$2:$C$31,$F2))</f>
        <v>1.55</v>
      </c>
      <c r="H2" s="13" t="n">
        <f aca="false">IF(INDEX(Indicators!$D$2:$D$31,$F2)="","",INDEX(Indicators!$D$2:$D$31,$F2))</f>
        <v>3.1</v>
      </c>
      <c r="I2" s="13" t="n">
        <f aca="false">IF(INDEX(Indicators!$E$2:$E$31,$F2)="","",INDEX(Indicators!$E$2:$E$31,$F2))</f>
        <v>86.6</v>
      </c>
      <c r="J2" s="13" t="n">
        <f aca="false">IF(INDEX(Indicators!$F$2:$F$31,$F2)="","",INDEX(Indicators!$F$2:$F$31,$F2))</f>
        <v>-6.4</v>
      </c>
      <c r="K2" s="13" t="n">
        <f aca="false">IF(INDEX(Indicators!$G$2:$G$31,$F2)="","",INDEX(Indicators!$G$2:$G$31,$F2))</f>
        <v>45</v>
      </c>
      <c r="L2" s="13" t="n">
        <f aca="false">IF(INDEX(Indicators!$H$2:$H$31,$F2)="","",INDEX(Indicators!$H$2:$H$31,$F2))</f>
        <v>82</v>
      </c>
      <c r="M2" s="13" t="n">
        <f aca="false">IF(INDEX(Indicators!$I$2:$I$31,$F2)="","",INDEX(Indicators!$I$2:$I$31,$F2))</f>
        <v>76</v>
      </c>
      <c r="N2" s="13" t="n">
        <f aca="false">IF(INDEX(Indicators!$J$2:$J$31,$F2)="","",INDEX(Indicators!$J$2:$J$31,$F2))</f>
        <v>71</v>
      </c>
      <c r="O2" s="14" t="n">
        <v>1</v>
      </c>
      <c r="P2" s="14" t="n">
        <v>1</v>
      </c>
      <c r="Q2" s="14" t="n">
        <v>1</v>
      </c>
      <c r="R2" s="14" t="n">
        <v>100</v>
      </c>
      <c r="S2" s="14" t="n">
        <v>12</v>
      </c>
      <c r="T2" s="14" t="n">
        <v>3</v>
      </c>
      <c r="U2" s="14" t="n">
        <v>100</v>
      </c>
      <c r="V2" s="14" t="n">
        <v>2</v>
      </c>
      <c r="W2" s="13" t="n">
        <f aca="false">IF(E2="Z01",1,0)</f>
        <v>1</v>
      </c>
      <c r="X2" s="14" t="n">
        <v>0</v>
      </c>
      <c r="Y2" s="13" t="n">
        <f aca="false">O2*Scales!$B$21+P2*Scales!$B$22+Q2*Scales!$B$23</f>
        <v>1560</v>
      </c>
      <c r="Z2" s="15" t="n">
        <f aca="false">Y2/Scales!$B$24*100</f>
        <v>100</v>
      </c>
      <c r="AA2" s="15" t="n">
        <f aca="false">IF(G2="","",(Scales!$C$4-G2)/(Scales!$C$4-Scales!$B$4)*100)</f>
        <v>51.3089005235602</v>
      </c>
      <c r="AB2" s="15" t="n">
        <f aca="false">IF(H2="","",(H2-Scales!$B$5)/(Scales!$C$5-Scales!$B$5)*100)</f>
        <v>33.8709677419355</v>
      </c>
      <c r="AC2" s="15" t="n">
        <f aca="false">(Scales!$C$6-I2)/(Scales!$C$6-Scales!$B$6)*100</f>
        <v>33.3333333333334</v>
      </c>
      <c r="AD2" s="15" t="n">
        <f aca="false">(Scales!$C$7-J2)/(Scales!$C$7-Scales!$B$7)*100</f>
        <v>45.0980392156863</v>
      </c>
      <c r="AE2" s="13" t="n">
        <f aca="false">8-COUNT(G2:N2)</f>
        <v>0</v>
      </c>
      <c r="AF2" s="13" t="n">
        <f aca="false">IF(D2="Inferred",100,IF(V2&gt;=2,0,50))</f>
        <v>0</v>
      </c>
      <c r="AG2" s="13" t="n">
        <f aca="false">IF(K2="",100,K2)</f>
        <v>45</v>
      </c>
      <c r="AH2" s="15" t="n">
        <f aca="false">IF(AA2="",AVERAGE(AC2,AD2),AVERAGE(AA2,AB2,AC2,AD2))</f>
        <v>40.9028102036288</v>
      </c>
      <c r="AI2" s="15" t="n">
        <f aca="false">AVERAGE(L2,M2,N2)</f>
        <v>76.3333333333333</v>
      </c>
      <c r="AJ2" s="15" t="n">
        <f aca="false">AVERAGE((T2-1)/(Scales!$B$36-1)*100,R2,U2)</f>
        <v>100</v>
      </c>
      <c r="AK2" s="15" t="n">
        <f aca="false">AVERAGE(Z2,S2/Scales!$B$34*100)</f>
        <v>87.5</v>
      </c>
      <c r="AL2" s="15" t="n">
        <f aca="false">MAX(W2*Scales!$B$16,X2*Scales!$B$17)</f>
        <v>40</v>
      </c>
      <c r="AM2" s="15" t="n">
        <f aca="false">AVERAGE(AG2,AE2/8*100)</f>
        <v>22.5</v>
      </c>
      <c r="AN2" s="15" t="n">
        <f aca="false">SUMPRODUCT(AH2:AM2,Scales!$B$11:$G$11)/Scales!$H$11</f>
        <v>69.0055620407258</v>
      </c>
      <c r="AO2" s="15" t="n">
        <f aca="false">SUMPRODUCT(AH2:AM2,Scales!$B$12:$G$12)/Scales!$H$12</f>
        <v>61.206023922827</v>
      </c>
      <c r="AP2" s="15" t="n">
        <f aca="false">SUMPRODUCT(AH2:AM2,Scales!$B$13:$G$13)/Scales!$H$13</f>
        <v>58.6625097277553</v>
      </c>
      <c r="AQ2" s="13" t="str">
        <f aca="false">IF(AN2&gt;=Scales!$B$38,"High",IF(AN2&gt;=Scales!$B$37,"Medium","Low"))</f>
        <v>High</v>
      </c>
      <c r="AR2" s="13" t="str">
        <f aca="false">IF(D2&lt;&gt;"Confirmed","Low",IF(V2&gt;=2,"High","Medium"))</f>
        <v>High</v>
      </c>
      <c r="AS2" s="13" t="str">
        <f aca="false">IF(AE2=0,"High","Low")</f>
        <v>High</v>
      </c>
      <c r="AT2" s="13" t="str">
        <f aca="false">IF(OR(AR2="Low",AS2="Low"),"Low",IF(OR(AR2="Medium",AS2="Medium"),"Medium","High"))</f>
        <v>High</v>
      </c>
      <c r="AU2" s="13" t="str">
        <f aca="false">IF(D2="Inferred","Verify the link first (needs direct disclosure)",IF(AQ2="High",IF(AT2="Low","Verify data first","Search alternates now"),IF(AQ2="Medium","Prepare shortlist and monitor","Monitor")))</f>
        <v>Search alternates now</v>
      </c>
      <c r="AV2" s="13" t="n">
        <f aca="false">RANK(AN2,$AN$2:$AN$25)</f>
        <v>1</v>
      </c>
      <c r="AW2" s="13" t="n">
        <f aca="false">RANK(AO2,$AO$2:$AO$25)</f>
        <v>3</v>
      </c>
      <c r="AX2" s="13" t="n">
        <f aca="false">RANK(AP2,$AP$2:$AP$25)</f>
        <v>4</v>
      </c>
    </row>
    <row r="3" customFormat="false" ht="15" hidden="false" customHeight="false" outlineLevel="0" collapsed="false">
      <c r="A3" s="13" t="s">
        <v>215</v>
      </c>
      <c r="B3" s="13" t="s">
        <v>76</v>
      </c>
      <c r="C3" s="13" t="s">
        <v>216</v>
      </c>
      <c r="D3" s="13" t="s">
        <v>53</v>
      </c>
      <c r="E3" s="13" t="s">
        <v>214</v>
      </c>
      <c r="F3" s="13" t="n">
        <f aca="false">MATCH(A3,Indicators!$A$2:$A$31,0)</f>
        <v>25</v>
      </c>
      <c r="G3" s="13" t="str">
        <f aca="false">IF(INDEX(Indicators!$C$2:$C$31,$F3)="","",INDEX(Indicators!$C$2:$C$31,$F3))</f>
        <v/>
      </c>
      <c r="H3" s="13" t="str">
        <f aca="false">IF(INDEX(Indicators!$D$2:$D$31,$F3)="","",INDEX(Indicators!$D$2:$D$31,$F3))</f>
        <v/>
      </c>
      <c r="I3" s="13" t="n">
        <f aca="false">IF(INDEX(Indicators!$E$2:$E$31,$F3)="","",INDEX(Indicators!$E$2:$E$31,$F3))</f>
        <v>80.5</v>
      </c>
      <c r="J3" s="13" t="n">
        <f aca="false">IF(INDEX(Indicators!$F$2:$F$31,$F3)="","",INDEX(Indicators!$F$2:$F$31,$F3))</f>
        <v>-2.2</v>
      </c>
      <c r="K3" s="13" t="str">
        <f aca="false">IF(INDEX(Indicators!$G$2:$G$31,$F3)="","",INDEX(Indicators!$G$2:$G$31,$F3))</f>
        <v/>
      </c>
      <c r="L3" s="13" t="n">
        <f aca="false">IF(INDEX(Indicators!$H$2:$H$31,$F3)="","",INDEX(Indicators!$H$2:$H$31,$F3))</f>
        <v>82</v>
      </c>
      <c r="M3" s="13" t="n">
        <f aca="false">IF(INDEX(Indicators!$I$2:$I$31,$F3)="","",INDEX(Indicators!$I$2:$I$31,$F3))</f>
        <v>76</v>
      </c>
      <c r="N3" s="13" t="n">
        <f aca="false">IF(INDEX(Indicators!$J$2:$J$31,$F3)="","",INDEX(Indicators!$J$2:$J$31,$F3))</f>
        <v>71</v>
      </c>
      <c r="O3" s="14" t="n">
        <v>1</v>
      </c>
      <c r="P3" s="14" t="n">
        <v>1</v>
      </c>
      <c r="Q3" s="14" t="n">
        <v>1</v>
      </c>
      <c r="R3" s="14" t="n">
        <v>100</v>
      </c>
      <c r="S3" s="14" t="n">
        <v>16</v>
      </c>
      <c r="T3" s="14" t="n">
        <v>2</v>
      </c>
      <c r="U3" s="14" t="n">
        <v>50</v>
      </c>
      <c r="V3" s="14" t="n">
        <v>1</v>
      </c>
      <c r="W3" s="13" t="n">
        <f aca="false">IF(E3="Z01",1,0)</f>
        <v>1</v>
      </c>
      <c r="X3" s="14" t="n">
        <v>0</v>
      </c>
      <c r="Y3" s="13" t="n">
        <f aca="false">O3*Scales!$B$21+P3*Scales!$B$22+Q3*Scales!$B$23</f>
        <v>1560</v>
      </c>
      <c r="Z3" s="15" t="n">
        <f aca="false">Y3/Scales!$B$24*100</f>
        <v>100</v>
      </c>
      <c r="AA3" s="15" t="str">
        <f aca="false">IF(G3="","",(Scales!$C$4-G3)/(Scales!$C$4-Scales!$B$4)*100)</f>
        <v/>
      </c>
      <c r="AB3" s="15" t="str">
        <f aca="false">IF(H3="","",(H3-Scales!$B$5)/(Scales!$C$5-Scales!$B$5)*100)</f>
        <v/>
      </c>
      <c r="AC3" s="15" t="n">
        <f aca="false">(Scales!$C$6-I3)/(Scales!$C$6-Scales!$B$6)*100</f>
        <v>73.202614379085</v>
      </c>
      <c r="AD3" s="15" t="n">
        <f aca="false">(Scales!$C$7-J3)/(Scales!$C$7-Scales!$B$7)*100</f>
        <v>24.5098039215686</v>
      </c>
      <c r="AE3" s="13" t="n">
        <f aca="false">8-COUNT(G3:N3)</f>
        <v>3</v>
      </c>
      <c r="AF3" s="13" t="n">
        <f aca="false">IF(D3="Inferred",100,IF(V3&gt;=2,0,50))</f>
        <v>50</v>
      </c>
      <c r="AG3" s="13" t="n">
        <f aca="false">IF(K3="",100,K3)</f>
        <v>100</v>
      </c>
      <c r="AH3" s="15" t="n">
        <f aca="false">IF(AA3="",AVERAGE(AC3,AD3),AVERAGE(AA3,AB3,AC3,AD3))</f>
        <v>48.8562091503268</v>
      </c>
      <c r="AI3" s="15" t="n">
        <f aca="false">AVERAGE(L3,M3,N3)</f>
        <v>76.3333333333333</v>
      </c>
      <c r="AJ3" s="15" t="n">
        <f aca="false">AVERAGE((T3-1)/(Scales!$B$36-1)*100,R3,U3)</f>
        <v>66.6666666666667</v>
      </c>
      <c r="AK3" s="15" t="n">
        <f aca="false">AVERAGE(Z3,S3/Scales!$B$34*100)</f>
        <v>100</v>
      </c>
      <c r="AL3" s="15" t="n">
        <f aca="false">MAX(W3*Scales!$B$16,X3*Scales!$B$17)</f>
        <v>40</v>
      </c>
      <c r="AM3" s="15" t="n">
        <f aca="false">AVERAGE(AG3,AE3/8*100)</f>
        <v>68.75</v>
      </c>
      <c r="AN3" s="15" t="n">
        <f aca="false">SUMPRODUCT(AH3:AM3,Scales!$B$11:$G$11)/Scales!$H$11</f>
        <v>67.0962418300654</v>
      </c>
      <c r="AO3" s="15" t="n">
        <f aca="false">SUMPRODUCT(AH3:AM3,Scales!$B$12:$G$12)/Scales!$H$12</f>
        <v>66.7677015250545</v>
      </c>
      <c r="AP3" s="15" t="n">
        <f aca="false">SUMPRODUCT(AH3:AM3,Scales!$B$13:$G$13)/Scales!$H$13</f>
        <v>64.2360294117647</v>
      </c>
      <c r="AQ3" s="13" t="str">
        <f aca="false">IF(AN3&gt;=Scales!$B$38,"High",IF(AN3&gt;=Scales!$B$37,"Medium","Low"))</f>
        <v>High</v>
      </c>
      <c r="AR3" s="13" t="str">
        <f aca="false">IF(D3&lt;&gt;"Confirmed","Low",IF(V3&gt;=2,"High","Medium"))</f>
        <v>Medium</v>
      </c>
      <c r="AS3" s="13" t="str">
        <f aca="false">IF(AE3=0,"High","Low")</f>
        <v>Low</v>
      </c>
      <c r="AT3" s="13" t="str">
        <f aca="false">IF(OR(AR3="Low",AS3="Low"),"Low",IF(OR(AR3="Medium",AS3="Medium"),"Medium","High"))</f>
        <v>Low</v>
      </c>
      <c r="AU3" s="13" t="str">
        <f aca="false">IF(D3="Inferred","Verify the link first (needs direct disclosure)",IF(AQ3="High",IF(AT3="Low","Verify data first","Search alternates now"),IF(AQ3="Medium","Prepare shortlist and monitor","Monitor")))</f>
        <v>Verify data first</v>
      </c>
      <c r="AV3" s="13" t="n">
        <f aca="false">RANK(AN3,$AN$2:$AN$25)</f>
        <v>2</v>
      </c>
      <c r="AW3" s="13" t="n">
        <f aca="false">RANK(AO3,$AO$2:$AO$25)</f>
        <v>1</v>
      </c>
      <c r="AX3" s="13" t="n">
        <f aca="false">RANK(AP3,$AP$2:$AP$25)</f>
        <v>1</v>
      </c>
    </row>
    <row r="4" customFormat="false" ht="15" hidden="false" customHeight="false" outlineLevel="0" collapsed="false">
      <c r="A4" s="13" t="s">
        <v>217</v>
      </c>
      <c r="B4" s="13" t="s">
        <v>78</v>
      </c>
      <c r="C4" s="13" t="s">
        <v>216</v>
      </c>
      <c r="D4" s="13" t="s">
        <v>79</v>
      </c>
      <c r="E4" s="13" t="s">
        <v>214</v>
      </c>
      <c r="F4" s="13" t="n">
        <f aca="false">MATCH(A4,Indicators!$A$2:$A$31,0)</f>
        <v>26</v>
      </c>
      <c r="G4" s="13" t="str">
        <f aca="false">IF(INDEX(Indicators!$C$2:$C$31,$F4)="","",INDEX(Indicators!$C$2:$C$31,$F4))</f>
        <v/>
      </c>
      <c r="H4" s="13" t="str">
        <f aca="false">IF(INDEX(Indicators!$D$2:$D$31,$F4)="","",INDEX(Indicators!$D$2:$D$31,$F4))</f>
        <v/>
      </c>
      <c r="I4" s="13" t="n">
        <f aca="false">IF(INDEX(Indicators!$E$2:$E$31,$F4)="","",INDEX(Indicators!$E$2:$E$31,$F4))</f>
        <v>81.9</v>
      </c>
      <c r="J4" s="13" t="n">
        <f aca="false">IF(INDEX(Indicators!$F$2:$F$31,$F4)="","",INDEX(Indicators!$F$2:$F$31,$F4))</f>
        <v>-0.9</v>
      </c>
      <c r="K4" s="13" t="str">
        <f aca="false">IF(INDEX(Indicators!$G$2:$G$31,$F4)="","",INDEX(Indicators!$G$2:$G$31,$F4))</f>
        <v/>
      </c>
      <c r="L4" s="13" t="n">
        <f aca="false">IF(INDEX(Indicators!$H$2:$H$31,$F4)="","",INDEX(Indicators!$H$2:$H$31,$F4))</f>
        <v>82</v>
      </c>
      <c r="M4" s="13" t="n">
        <f aca="false">IF(INDEX(Indicators!$I$2:$I$31,$F4)="","",INDEX(Indicators!$I$2:$I$31,$F4))</f>
        <v>76</v>
      </c>
      <c r="N4" s="13" t="n">
        <f aca="false">IF(INDEX(Indicators!$J$2:$J$31,$F4)="","",INDEX(Indicators!$J$2:$J$31,$F4))</f>
        <v>71</v>
      </c>
      <c r="O4" s="14" t="n">
        <v>1</v>
      </c>
      <c r="P4" s="14" t="n">
        <v>1</v>
      </c>
      <c r="Q4" s="14" t="n">
        <v>1</v>
      </c>
      <c r="R4" s="14" t="n">
        <v>100</v>
      </c>
      <c r="S4" s="14" t="n">
        <v>16</v>
      </c>
      <c r="T4" s="14" t="n">
        <v>2</v>
      </c>
      <c r="U4" s="14" t="n">
        <v>50</v>
      </c>
      <c r="V4" s="14" t="n">
        <v>1</v>
      </c>
      <c r="W4" s="13" t="n">
        <f aca="false">IF(E4="Z01",1,0)</f>
        <v>1</v>
      </c>
      <c r="X4" s="14" t="n">
        <v>0</v>
      </c>
      <c r="Y4" s="13" t="n">
        <f aca="false">O4*Scales!$B$21+P4*Scales!$B$22+Q4*Scales!$B$23</f>
        <v>1560</v>
      </c>
      <c r="Z4" s="15" t="n">
        <f aca="false">Y4/Scales!$B$24*100</f>
        <v>100</v>
      </c>
      <c r="AA4" s="15" t="str">
        <f aca="false">IF(G4="","",(Scales!$C$4-G4)/(Scales!$C$4-Scales!$B$4)*100)</f>
        <v/>
      </c>
      <c r="AB4" s="15" t="str">
        <f aca="false">IF(H4="","",(H4-Scales!$B$5)/(Scales!$C$5-Scales!$B$5)*100)</f>
        <v/>
      </c>
      <c r="AC4" s="15" t="n">
        <f aca="false">(Scales!$C$6-I4)/(Scales!$C$6-Scales!$B$6)*100</f>
        <v>64.0522875816994</v>
      </c>
      <c r="AD4" s="15" t="n">
        <f aca="false">(Scales!$C$7-J4)/(Scales!$C$7-Scales!$B$7)*100</f>
        <v>18.1372549019608</v>
      </c>
      <c r="AE4" s="13" t="n">
        <f aca="false">8-COUNT(G4:N4)</f>
        <v>3</v>
      </c>
      <c r="AF4" s="13" t="n">
        <f aca="false">IF(D4="Inferred",100,IF(V4&gt;=2,0,50))</f>
        <v>100</v>
      </c>
      <c r="AG4" s="13" t="n">
        <f aca="false">IF(K4="",100,K4)</f>
        <v>100</v>
      </c>
      <c r="AH4" s="15" t="n">
        <f aca="false">IF(AA4="",AVERAGE(AC4,AD4),AVERAGE(AA4,AB4,AC4,AD4))</f>
        <v>41.0947712418301</v>
      </c>
      <c r="AI4" s="15" t="n">
        <f aca="false">AVERAGE(L4,M4,N4)</f>
        <v>76.3333333333333</v>
      </c>
      <c r="AJ4" s="15" t="n">
        <f aca="false">AVERAGE((T4-1)/(Scales!$B$36-1)*100,R4,U4)</f>
        <v>66.6666666666667</v>
      </c>
      <c r="AK4" s="15" t="n">
        <f aca="false">AVERAGE(Z4,S4/Scales!$B$34*100)</f>
        <v>100</v>
      </c>
      <c r="AL4" s="15" t="n">
        <f aca="false">MAX(W4*Scales!$B$16,X4*Scales!$B$17)</f>
        <v>40</v>
      </c>
      <c r="AM4" s="15" t="n">
        <f aca="false">AVERAGE(AG4,AE4/8*100)</f>
        <v>68.75</v>
      </c>
      <c r="AN4" s="15" t="n">
        <f aca="false">SUMPRODUCT(AH4:AM4,Scales!$B$11:$G$11)/Scales!$H$11</f>
        <v>65.543954248366</v>
      </c>
      <c r="AO4" s="15" t="n">
        <f aca="false">SUMPRODUCT(AH4:AM4,Scales!$B$12:$G$12)/Scales!$H$12</f>
        <v>65.474128540305</v>
      </c>
      <c r="AP4" s="15" t="n">
        <f aca="false">SUMPRODUCT(AH4:AM4,Scales!$B$13:$G$13)/Scales!$H$13</f>
        <v>61.9075980392157</v>
      </c>
      <c r="AQ4" s="13" t="str">
        <f aca="false">IF(AN4&gt;=Scales!$B$38,"High",IF(AN4&gt;=Scales!$B$37,"Medium","Low"))</f>
        <v>High</v>
      </c>
      <c r="AR4" s="13" t="str">
        <f aca="false">IF(D4&lt;&gt;"Confirmed","Low",IF(V4&gt;=2,"High","Medium"))</f>
        <v>Low</v>
      </c>
      <c r="AS4" s="13" t="str">
        <f aca="false">IF(AE4=0,"High","Low")</f>
        <v>Low</v>
      </c>
      <c r="AT4" s="13" t="str">
        <f aca="false">IF(OR(AR4="Low",AS4="Low"),"Low",IF(OR(AR4="Medium",AS4="Medium"),"Medium","High"))</f>
        <v>Low</v>
      </c>
      <c r="AU4" s="13" t="str">
        <f aca="false">IF(D4="Inferred","Verify the link first (needs direct disclosure)",IF(AQ4="High",IF(AT4="Low","Verify data first","Search alternates now"),IF(AQ4="Medium","Prepare shortlist and monitor","Monitor")))</f>
        <v>Verify the link first (needs direct disclosure)</v>
      </c>
      <c r="AV4" s="13" t="n">
        <f aca="false">RANK(AN4,$AN$2:$AN$25)</f>
        <v>3</v>
      </c>
      <c r="AW4" s="13" t="n">
        <f aca="false">RANK(AO4,$AO$2:$AO$25)</f>
        <v>2</v>
      </c>
      <c r="AX4" s="13" t="n">
        <f aca="false">RANK(AP4,$AP$2:$AP$25)</f>
        <v>2</v>
      </c>
    </row>
    <row r="5" customFormat="false" ht="15" hidden="false" customHeight="false" outlineLevel="0" collapsed="false">
      <c r="A5" s="13" t="s">
        <v>218</v>
      </c>
      <c r="B5" s="13" t="s">
        <v>75</v>
      </c>
      <c r="C5" s="13" t="s">
        <v>213</v>
      </c>
      <c r="D5" s="13" t="s">
        <v>53</v>
      </c>
      <c r="E5" s="13" t="s">
        <v>214</v>
      </c>
      <c r="F5" s="13" t="n">
        <f aca="false">MATCH(A5,Indicators!$A$2:$A$31,0)</f>
        <v>13</v>
      </c>
      <c r="G5" s="13" t="n">
        <f aca="false">IF(INDEX(Indicators!$C$2:$C$31,$F5)="","",INDEX(Indicators!$C$2:$C$31,$F5))</f>
        <v>1.8</v>
      </c>
      <c r="H5" s="13" t="n">
        <f aca="false">IF(INDEX(Indicators!$D$2:$D$31,$F5)="","",INDEX(Indicators!$D$2:$D$31,$F5))</f>
        <v>2.4</v>
      </c>
      <c r="I5" s="13" t="n">
        <f aca="false">IF(INDEX(Indicators!$E$2:$E$31,$F5)="","",INDEX(Indicators!$E$2:$E$31,$F5))</f>
        <v>85.2</v>
      </c>
      <c r="J5" s="13" t="n">
        <f aca="false">IF(INDEX(Indicators!$F$2:$F$31,$F5)="","",INDEX(Indicators!$F$2:$F$31,$F5))</f>
        <v>-8.8</v>
      </c>
      <c r="K5" s="13" t="n">
        <f aca="false">IF(INDEX(Indicators!$G$2:$G$31,$F5)="","",INDEX(Indicators!$G$2:$G$31,$F5))</f>
        <v>36</v>
      </c>
      <c r="L5" s="13" t="n">
        <f aca="false">IF(INDEX(Indicators!$H$2:$H$31,$F5)="","",INDEX(Indicators!$H$2:$H$31,$F5))</f>
        <v>82</v>
      </c>
      <c r="M5" s="13" t="n">
        <f aca="false">IF(INDEX(Indicators!$I$2:$I$31,$F5)="","",INDEX(Indicators!$I$2:$I$31,$F5))</f>
        <v>76</v>
      </c>
      <c r="N5" s="13" t="n">
        <f aca="false">IF(INDEX(Indicators!$J$2:$J$31,$F5)="","",INDEX(Indicators!$J$2:$J$31,$F5))</f>
        <v>71</v>
      </c>
      <c r="O5" s="14" t="n">
        <v>1</v>
      </c>
      <c r="P5" s="14" t="n">
        <v>1</v>
      </c>
      <c r="Q5" s="14" t="n">
        <v>1</v>
      </c>
      <c r="R5" s="14" t="n">
        <v>100</v>
      </c>
      <c r="S5" s="14" t="n">
        <v>16</v>
      </c>
      <c r="T5" s="14" t="n">
        <v>2</v>
      </c>
      <c r="U5" s="14" t="n">
        <v>100</v>
      </c>
      <c r="V5" s="14" t="n">
        <v>2</v>
      </c>
      <c r="W5" s="13" t="n">
        <f aca="false">IF(E5="Z01",1,0)</f>
        <v>1</v>
      </c>
      <c r="X5" s="14" t="n">
        <v>0</v>
      </c>
      <c r="Y5" s="13" t="n">
        <f aca="false">O5*Scales!$B$21+P5*Scales!$B$22+Q5*Scales!$B$23</f>
        <v>1560</v>
      </c>
      <c r="Z5" s="15" t="n">
        <f aca="false">Y5/Scales!$B$24*100</f>
        <v>100</v>
      </c>
      <c r="AA5" s="15" t="n">
        <f aca="false">IF(G5="","",(Scales!$C$4-G5)/(Scales!$C$4-Scales!$B$4)*100)</f>
        <v>38.2198952879581</v>
      </c>
      <c r="AB5" s="15" t="n">
        <f aca="false">IF(H5="","",(H5-Scales!$B$5)/(Scales!$C$5-Scales!$B$5)*100)</f>
        <v>22.5806451612903</v>
      </c>
      <c r="AC5" s="15" t="n">
        <f aca="false">(Scales!$C$6-I5)/(Scales!$C$6-Scales!$B$6)*100</f>
        <v>42.483660130719</v>
      </c>
      <c r="AD5" s="15" t="n">
        <f aca="false">(Scales!$C$7-J5)/(Scales!$C$7-Scales!$B$7)*100</f>
        <v>56.8627450980392</v>
      </c>
      <c r="AE5" s="13" t="n">
        <f aca="false">8-COUNT(G5:N5)</f>
        <v>0</v>
      </c>
      <c r="AF5" s="13" t="n">
        <f aca="false">IF(D5="Inferred",100,IF(V5&gt;=2,0,50))</f>
        <v>0</v>
      </c>
      <c r="AG5" s="13" t="n">
        <f aca="false">IF(K5="",100,K5)</f>
        <v>36</v>
      </c>
      <c r="AH5" s="15" t="n">
        <f aca="false">IF(AA5="",AVERAGE(AC5,AD5),AVERAGE(AA5,AB5,AC5,AD5))</f>
        <v>40.0367364195017</v>
      </c>
      <c r="AI5" s="15" t="n">
        <f aca="false">AVERAGE(L5,M5,N5)</f>
        <v>76.3333333333333</v>
      </c>
      <c r="AJ5" s="15" t="n">
        <f aca="false">AVERAGE((T5-1)/(Scales!$B$36-1)*100,R5,U5)</f>
        <v>83.3333333333333</v>
      </c>
      <c r="AK5" s="15" t="n">
        <f aca="false">AVERAGE(Z5,S5/Scales!$B$34*100)</f>
        <v>100</v>
      </c>
      <c r="AL5" s="15" t="n">
        <f aca="false">MAX(W5*Scales!$B$16,X5*Scales!$B$17)</f>
        <v>40</v>
      </c>
      <c r="AM5" s="15" t="n">
        <f aca="false">AVERAGE(AG5,AE5/8*100)</f>
        <v>18</v>
      </c>
      <c r="AN5" s="15" t="n">
        <f aca="false">SUMPRODUCT(AH5:AM5,Scales!$B$11:$G$11)/Scales!$H$11</f>
        <v>65.2573472839003</v>
      </c>
      <c r="AO5" s="15" t="n">
        <f aca="false">SUMPRODUCT(AH5:AM5,Scales!$B$12:$G$12)/Scales!$H$12</f>
        <v>59.6172338476947</v>
      </c>
      <c r="AP5" s="15" t="n">
        <f aca="false">SUMPRODUCT(AH5:AM5,Scales!$B$13:$G$13)/Scales!$H$13</f>
        <v>56.4776875925172</v>
      </c>
      <c r="AQ5" s="13" t="str">
        <f aca="false">IF(AN5&gt;=Scales!$B$38,"High",IF(AN5&gt;=Scales!$B$37,"Medium","Low"))</f>
        <v>High</v>
      </c>
      <c r="AR5" s="13" t="str">
        <f aca="false">IF(D5&lt;&gt;"Confirmed","Low",IF(V5&gt;=2,"High","Medium"))</f>
        <v>High</v>
      </c>
      <c r="AS5" s="13" t="str">
        <f aca="false">IF(AE5=0,"High","Low")</f>
        <v>High</v>
      </c>
      <c r="AT5" s="13" t="str">
        <f aca="false">IF(OR(AR5="Low",AS5="Low"),"Low",IF(OR(AR5="Medium",AS5="Medium"),"Medium","High"))</f>
        <v>High</v>
      </c>
      <c r="AU5" s="13" t="str">
        <f aca="false">IF(D5="Inferred","Verify the link first (needs direct disclosure)",IF(AQ5="High",IF(AT5="Low","Verify data first","Search alternates now"),IF(AQ5="Medium","Prepare shortlist and monitor","Monitor")))</f>
        <v>Search alternates now</v>
      </c>
      <c r="AV5" s="13" t="n">
        <f aca="false">RANK(AN5,$AN$2:$AN$25)</f>
        <v>4</v>
      </c>
      <c r="AW5" s="13" t="n">
        <f aca="false">RANK(AO5,$AO$2:$AO$25)</f>
        <v>4</v>
      </c>
      <c r="AX5" s="13" t="n">
        <f aca="false">RANK(AP5,$AP$2:$AP$25)</f>
        <v>5</v>
      </c>
    </row>
    <row r="6" customFormat="false" ht="15" hidden="false" customHeight="false" outlineLevel="0" collapsed="false">
      <c r="A6" s="13" t="s">
        <v>219</v>
      </c>
      <c r="B6" s="13" t="s">
        <v>83</v>
      </c>
      <c r="C6" s="13" t="s">
        <v>213</v>
      </c>
      <c r="D6" s="13" t="s">
        <v>53</v>
      </c>
      <c r="E6" s="13" t="s">
        <v>214</v>
      </c>
      <c r="F6" s="13" t="n">
        <f aca="false">MATCH(A6,Indicators!$A$2:$A$31,0)</f>
        <v>20</v>
      </c>
      <c r="G6" s="13" t="n">
        <f aca="false">IF(INDEX(Indicators!$C$2:$C$31,$F6)="","",INDEX(Indicators!$C$2:$C$31,$F6))</f>
        <v>2.29</v>
      </c>
      <c r="H6" s="13" t="n">
        <f aca="false">IF(INDEX(Indicators!$D$2:$D$31,$F6)="","",INDEX(Indicators!$D$2:$D$31,$F6))</f>
        <v>2.67</v>
      </c>
      <c r="I6" s="13" t="n">
        <f aca="false">IF(INDEX(Indicators!$E$2:$E$31,$F6)="","",INDEX(Indicators!$E$2:$E$31,$F6))</f>
        <v>82.2</v>
      </c>
      <c r="J6" s="13" t="n">
        <f aca="false">IF(INDEX(Indicators!$F$2:$F$31,$F6)="","",INDEX(Indicators!$F$2:$F$31,$F6))</f>
        <v>0.7</v>
      </c>
      <c r="K6" s="13" t="n">
        <f aca="false">IF(INDEX(Indicators!$G$2:$G$31,$F6)="","",INDEX(Indicators!$G$2:$G$31,$F6))</f>
        <v>30</v>
      </c>
      <c r="L6" s="13" t="n">
        <f aca="false">IF(INDEX(Indicators!$H$2:$H$31,$F6)="","",INDEX(Indicators!$H$2:$H$31,$F6))</f>
        <v>82</v>
      </c>
      <c r="M6" s="13" t="n">
        <f aca="false">IF(INDEX(Indicators!$I$2:$I$31,$F6)="","",INDEX(Indicators!$I$2:$I$31,$F6))</f>
        <v>76</v>
      </c>
      <c r="N6" s="13" t="n">
        <f aca="false">IF(INDEX(Indicators!$J$2:$J$31,$F6)="","",INDEX(Indicators!$J$2:$J$31,$F6))</f>
        <v>71</v>
      </c>
      <c r="O6" s="14" t="n">
        <v>1</v>
      </c>
      <c r="P6" s="14" t="n">
        <v>1</v>
      </c>
      <c r="Q6" s="14" t="n">
        <v>1</v>
      </c>
      <c r="R6" s="14" t="n">
        <v>100</v>
      </c>
      <c r="S6" s="14" t="n">
        <v>16</v>
      </c>
      <c r="T6" s="14" t="n">
        <v>2</v>
      </c>
      <c r="U6" s="14" t="n">
        <v>50</v>
      </c>
      <c r="V6" s="14" t="n">
        <v>1</v>
      </c>
      <c r="W6" s="13" t="n">
        <f aca="false">IF(E6="Z01",1,0)</f>
        <v>1</v>
      </c>
      <c r="X6" s="14" t="n">
        <v>0</v>
      </c>
      <c r="Y6" s="13" t="n">
        <f aca="false">O6*Scales!$B$21+P6*Scales!$B$22+Q6*Scales!$B$23</f>
        <v>1560</v>
      </c>
      <c r="Z6" s="15" t="n">
        <f aca="false">Y6/Scales!$B$24*100</f>
        <v>100</v>
      </c>
      <c r="AA6" s="15" t="n">
        <f aca="false">IF(G6="","",(Scales!$C$4-G6)/(Scales!$C$4-Scales!$B$4)*100)</f>
        <v>12.565445026178</v>
      </c>
      <c r="AB6" s="15" t="n">
        <f aca="false">IF(H6="","",(H6-Scales!$B$5)/(Scales!$C$5-Scales!$B$5)*100)</f>
        <v>26.9354838709677</v>
      </c>
      <c r="AC6" s="15" t="n">
        <f aca="false">(Scales!$C$6-I6)/(Scales!$C$6-Scales!$B$6)*100</f>
        <v>62.0915032679739</v>
      </c>
      <c r="AD6" s="15" t="n">
        <f aca="false">(Scales!$C$7-J6)/(Scales!$C$7-Scales!$B$7)*100</f>
        <v>10.2941176470588</v>
      </c>
      <c r="AE6" s="13" t="n">
        <f aca="false">8-COUNT(G6:N6)</f>
        <v>0</v>
      </c>
      <c r="AF6" s="13" t="n">
        <f aca="false">IF(D6="Inferred",100,IF(V6&gt;=2,0,50))</f>
        <v>50</v>
      </c>
      <c r="AG6" s="13" t="n">
        <f aca="false">IF(K6="",100,K6)</f>
        <v>30</v>
      </c>
      <c r="AH6" s="15" t="n">
        <f aca="false">IF(AA6="",AVERAGE(AC6,AD6),AVERAGE(AA6,AB6,AC6,AD6))</f>
        <v>27.9716374530446</v>
      </c>
      <c r="AI6" s="15" t="n">
        <f aca="false">AVERAGE(L6,M6,N6)</f>
        <v>76.3333333333333</v>
      </c>
      <c r="AJ6" s="15" t="n">
        <f aca="false">AVERAGE((T6-1)/(Scales!$B$36-1)*100,R6,U6)</f>
        <v>66.6666666666667</v>
      </c>
      <c r="AK6" s="15" t="n">
        <f aca="false">AVERAGE(Z6,S6/Scales!$B$34*100)</f>
        <v>100</v>
      </c>
      <c r="AL6" s="15" t="n">
        <f aca="false">MAX(W6*Scales!$B$16,X6*Scales!$B$17)</f>
        <v>40</v>
      </c>
      <c r="AM6" s="15" t="n">
        <f aca="false">AVERAGE(AG6,AE6/8*100)</f>
        <v>15</v>
      </c>
      <c r="AN6" s="15" t="n">
        <f aca="false">SUMPRODUCT(AH6:AM6,Scales!$B$11:$G$11)/Scales!$H$11</f>
        <v>57.5443274906089</v>
      </c>
      <c r="AO6" s="15" t="n">
        <f aca="false">SUMPRODUCT(AH6:AM6,Scales!$B$12:$G$12)/Scales!$H$12</f>
        <v>54.3286062421741</v>
      </c>
      <c r="AP6" s="15" t="n">
        <f aca="false">SUMPRODUCT(AH6:AM6,Scales!$B$13:$G$13)/Scales!$H$13</f>
        <v>49.9081579025801</v>
      </c>
      <c r="AQ6" s="13" t="str">
        <f aca="false">IF(AN6&gt;=Scales!$B$38,"High",IF(AN6&gt;=Scales!$B$37,"Medium","Low"))</f>
        <v>High</v>
      </c>
      <c r="AR6" s="13" t="str">
        <f aca="false">IF(D6&lt;&gt;"Confirmed","Low",IF(V6&gt;=2,"High","Medium"))</f>
        <v>Medium</v>
      </c>
      <c r="AS6" s="13" t="str">
        <f aca="false">IF(AE6=0,"High","Low")</f>
        <v>High</v>
      </c>
      <c r="AT6" s="13" t="str">
        <f aca="false">IF(OR(AR6="Low",AS6="Low"),"Low",IF(OR(AR6="Medium",AS6="Medium"),"Medium","High"))</f>
        <v>Medium</v>
      </c>
      <c r="AU6" s="13" t="str">
        <f aca="false">IF(D6="Inferred","Verify the link first (needs direct disclosure)",IF(AQ6="High",IF(AT6="Low","Verify data first","Search alternates now"),IF(AQ6="Medium","Prepare shortlist and monitor","Monitor")))</f>
        <v>Search alternates now</v>
      </c>
      <c r="AV6" s="13" t="n">
        <f aca="false">RANK(AN6,$AN$2:$AN$25)</f>
        <v>5</v>
      </c>
      <c r="AW6" s="13" t="n">
        <f aca="false">RANK(AO6,$AO$2:$AO$25)</f>
        <v>6</v>
      </c>
      <c r="AX6" s="13" t="n">
        <f aca="false">RANK(AP6,$AP$2:$AP$25)</f>
        <v>6</v>
      </c>
    </row>
    <row r="7" customFormat="false" ht="15" hidden="false" customHeight="false" outlineLevel="0" collapsed="false">
      <c r="A7" s="13" t="s">
        <v>220</v>
      </c>
      <c r="B7" s="13" t="s">
        <v>64</v>
      </c>
      <c r="C7" s="13" t="s">
        <v>213</v>
      </c>
      <c r="D7" s="13" t="s">
        <v>53</v>
      </c>
      <c r="E7" s="13" t="s">
        <v>221</v>
      </c>
      <c r="F7" s="13" t="n">
        <f aca="false">MATCH(A7,Indicators!$A$2:$A$31,0)</f>
        <v>18</v>
      </c>
      <c r="G7" s="13" t="n">
        <f aca="false">IF(INDEX(Indicators!$C$2:$C$31,$F7)="","",INDEX(Indicators!$C$2:$C$31,$F7))</f>
        <v>0.62</v>
      </c>
      <c r="H7" s="13" t="n">
        <f aca="false">IF(INDEX(Indicators!$D$2:$D$31,$F7)="","",INDEX(Indicators!$D$2:$D$31,$F7))</f>
        <v>7.2</v>
      </c>
      <c r="I7" s="13" t="n">
        <f aca="false">IF(INDEX(Indicators!$E$2:$E$31,$F7)="","",INDEX(Indicators!$E$2:$E$31,$F7))</f>
        <v>76.4</v>
      </c>
      <c r="J7" s="13" t="n">
        <f aca="false">IF(INDEX(Indicators!$F$2:$F$31,$F7)="","",INDEX(Indicators!$F$2:$F$31,$F7))</f>
        <v>-17.6</v>
      </c>
      <c r="K7" s="13" t="n">
        <f aca="false">IF(INDEX(Indicators!$G$2:$G$31,$F7)="","",INDEX(Indicators!$G$2:$G$31,$F7))</f>
        <v>72</v>
      </c>
      <c r="L7" s="13" t="n">
        <f aca="false">IF(INDEX(Indicators!$H$2:$H$31,$F7)="","",INDEX(Indicators!$H$2:$H$31,$F7))</f>
        <v>19</v>
      </c>
      <c r="M7" s="13" t="n">
        <f aca="false">IF(INDEX(Indicators!$I$2:$I$31,$F7)="","",INDEX(Indicators!$I$2:$I$31,$F7))</f>
        <v>26</v>
      </c>
      <c r="N7" s="13" t="n">
        <f aca="false">IF(INDEX(Indicators!$J$2:$J$31,$F7)="","",INDEX(Indicators!$J$2:$J$31,$F7))</f>
        <v>25</v>
      </c>
      <c r="O7" s="14" t="n">
        <v>1</v>
      </c>
      <c r="P7" s="14" t="n">
        <v>1</v>
      </c>
      <c r="Q7" s="14" t="n">
        <v>0</v>
      </c>
      <c r="R7" s="14" t="n">
        <v>100</v>
      </c>
      <c r="S7" s="14" t="n">
        <v>8</v>
      </c>
      <c r="T7" s="14" t="n">
        <v>1</v>
      </c>
      <c r="U7" s="14" t="n">
        <v>50</v>
      </c>
      <c r="V7" s="14" t="n">
        <v>1</v>
      </c>
      <c r="W7" s="13" t="n">
        <f aca="false">IF(E7="Z01",1,0)</f>
        <v>0</v>
      </c>
      <c r="X7" s="14" t="n">
        <v>1</v>
      </c>
      <c r="Y7" s="13" t="n">
        <f aca="false">O7*Scales!$B$21+P7*Scales!$B$22+Q7*Scales!$B$23</f>
        <v>1144</v>
      </c>
      <c r="Z7" s="15" t="n">
        <f aca="false">Y7/Scales!$B$24*100</f>
        <v>73.3333333333333</v>
      </c>
      <c r="AA7" s="15" t="n">
        <f aca="false">IF(G7="","",(Scales!$C$4-G7)/(Scales!$C$4-Scales!$B$4)*100)</f>
        <v>100</v>
      </c>
      <c r="AB7" s="15" t="n">
        <f aca="false">IF(H7="","",(H7-Scales!$B$5)/(Scales!$C$5-Scales!$B$5)*100)</f>
        <v>100</v>
      </c>
      <c r="AC7" s="15" t="n">
        <f aca="false">(Scales!$C$6-I7)/(Scales!$C$6-Scales!$B$6)*100</f>
        <v>100</v>
      </c>
      <c r="AD7" s="15" t="n">
        <f aca="false">(Scales!$C$7-J7)/(Scales!$C$7-Scales!$B$7)*100</f>
        <v>100</v>
      </c>
      <c r="AE7" s="13" t="n">
        <f aca="false">8-COUNT(G7:N7)</f>
        <v>0</v>
      </c>
      <c r="AF7" s="13" t="n">
        <f aca="false">IF(D7="Inferred",100,IF(V7&gt;=2,0,50))</f>
        <v>50</v>
      </c>
      <c r="AG7" s="13" t="n">
        <f aca="false">IF(K7="",100,K7)</f>
        <v>72</v>
      </c>
      <c r="AH7" s="15" t="n">
        <f aca="false">IF(AA7="",AVERAGE(AC7,AD7),AVERAGE(AA7,AB7,AC7,AD7))</f>
        <v>100</v>
      </c>
      <c r="AI7" s="15" t="n">
        <f aca="false">AVERAGE(L7,M7,N7)</f>
        <v>23.3333333333333</v>
      </c>
      <c r="AJ7" s="15" t="n">
        <f aca="false">AVERAGE((T7-1)/(Scales!$B$36-1)*100,R7,U7)</f>
        <v>50</v>
      </c>
      <c r="AK7" s="15" t="n">
        <f aca="false">AVERAGE(Z7,S7/Scales!$B$34*100)</f>
        <v>61.6666666666667</v>
      </c>
      <c r="AL7" s="15" t="n">
        <f aca="false">MAX(W7*Scales!$B$16,X7*Scales!$B$17)</f>
        <v>60</v>
      </c>
      <c r="AM7" s="15" t="n">
        <f aca="false">AVERAGE(AG7,AE7/8*100)</f>
        <v>36</v>
      </c>
      <c r="AN7" s="15" t="n">
        <f aca="false">SUMPRODUCT(AH7:AM7,Scales!$B$11:$G$11)/Scales!$H$11</f>
        <v>57.35</v>
      </c>
      <c r="AO7" s="15" t="n">
        <f aca="false">SUMPRODUCT(AH7:AM7,Scales!$B$12:$G$12)/Scales!$H$12</f>
        <v>55.1666666666667</v>
      </c>
      <c r="AP7" s="15" t="n">
        <f aca="false">SUMPRODUCT(AH7:AM7,Scales!$B$13:$G$13)/Scales!$H$13</f>
        <v>59.7333333333333</v>
      </c>
      <c r="AQ7" s="13" t="str">
        <f aca="false">IF(AN7&gt;=Scales!$B$38,"High",IF(AN7&gt;=Scales!$B$37,"Medium","Low"))</f>
        <v>High</v>
      </c>
      <c r="AR7" s="13" t="str">
        <f aca="false">IF(D7&lt;&gt;"Confirmed","Low",IF(V7&gt;=2,"High","Medium"))</f>
        <v>Medium</v>
      </c>
      <c r="AS7" s="13" t="str">
        <f aca="false">IF(AE7=0,"High","Low")</f>
        <v>High</v>
      </c>
      <c r="AT7" s="13" t="str">
        <f aca="false">IF(OR(AR7="Low",AS7="Low"),"Low",IF(OR(AR7="Medium",AS7="Medium"),"Medium","High"))</f>
        <v>Medium</v>
      </c>
      <c r="AU7" s="13" t="str">
        <f aca="false">IF(D7="Inferred","Verify the link first (needs direct disclosure)",IF(AQ7="High",IF(AT7="Low","Verify data first","Search alternates now"),IF(AQ7="Medium","Prepare shortlist and monitor","Monitor")))</f>
        <v>Search alternates now</v>
      </c>
      <c r="AV7" s="13" t="n">
        <f aca="false">RANK(AN7,$AN$2:$AN$25)</f>
        <v>6</v>
      </c>
      <c r="AW7" s="13" t="n">
        <f aca="false">RANK(AO7,$AO$2:$AO$25)</f>
        <v>5</v>
      </c>
      <c r="AX7" s="13" t="n">
        <f aca="false">RANK(AP7,$AP$2:$AP$25)</f>
        <v>3</v>
      </c>
    </row>
    <row r="8" customFormat="false" ht="15" hidden="false" customHeight="false" outlineLevel="0" collapsed="false">
      <c r="A8" s="13" t="s">
        <v>222</v>
      </c>
      <c r="B8" s="13" t="s">
        <v>52</v>
      </c>
      <c r="C8" s="13" t="s">
        <v>216</v>
      </c>
      <c r="D8" s="13" t="s">
        <v>53</v>
      </c>
      <c r="E8" s="13" t="s">
        <v>223</v>
      </c>
      <c r="F8" s="13" t="n">
        <f aca="false">MATCH(A8,Indicators!$A$2:$A$31,0)</f>
        <v>27</v>
      </c>
      <c r="G8" s="13" t="str">
        <f aca="false">IF(INDEX(Indicators!$C$2:$C$31,$F8)="","",INDEX(Indicators!$C$2:$C$31,$F8))</f>
        <v/>
      </c>
      <c r="H8" s="13" t="str">
        <f aca="false">IF(INDEX(Indicators!$D$2:$D$31,$F8)="","",INDEX(Indicators!$D$2:$D$31,$F8))</f>
        <v/>
      </c>
      <c r="I8" s="13" t="n">
        <f aca="false">IF(INDEX(Indicators!$E$2:$E$31,$F8)="","",INDEX(Indicators!$E$2:$E$31,$F8))</f>
        <v>87.4</v>
      </c>
      <c r="J8" s="13" t="n">
        <f aca="false">IF(INDEX(Indicators!$F$2:$F$31,$F8)="","",INDEX(Indicators!$F$2:$F$31,$F8))</f>
        <v>1.8</v>
      </c>
      <c r="K8" s="13" t="str">
        <f aca="false">IF(INDEX(Indicators!$G$2:$G$31,$F8)="","",INDEX(Indicators!$G$2:$G$31,$F8))</f>
        <v/>
      </c>
      <c r="L8" s="13" t="n">
        <f aca="false">IF(INDEX(Indicators!$H$2:$H$31,$F8)="","",INDEX(Indicators!$H$2:$H$31,$F8))</f>
        <v>67</v>
      </c>
      <c r="M8" s="13" t="n">
        <f aca="false">IF(INDEX(Indicators!$I$2:$I$31,$F8)="","",INDEX(Indicators!$I$2:$I$31,$F8))</f>
        <v>59</v>
      </c>
      <c r="N8" s="13" t="n">
        <f aca="false">IF(INDEX(Indicators!$J$2:$J$31,$F8)="","",INDEX(Indicators!$J$2:$J$31,$F8))</f>
        <v>54</v>
      </c>
      <c r="O8" s="14" t="n">
        <v>1</v>
      </c>
      <c r="P8" s="14" t="n">
        <v>1</v>
      </c>
      <c r="Q8" s="14" t="n">
        <v>1</v>
      </c>
      <c r="R8" s="14" t="n">
        <v>100</v>
      </c>
      <c r="S8" s="14" t="n">
        <v>12</v>
      </c>
      <c r="T8" s="14" t="n">
        <v>3</v>
      </c>
      <c r="U8" s="14" t="n">
        <v>50</v>
      </c>
      <c r="V8" s="14" t="n">
        <v>1</v>
      </c>
      <c r="W8" s="13" t="n">
        <f aca="false">IF(E8="Z01",1,0)</f>
        <v>0</v>
      </c>
      <c r="X8" s="14" t="n">
        <v>0</v>
      </c>
      <c r="Y8" s="13" t="n">
        <f aca="false">O8*Scales!$B$21+P8*Scales!$B$22+Q8*Scales!$B$23</f>
        <v>1560</v>
      </c>
      <c r="Z8" s="15" t="n">
        <f aca="false">Y8/Scales!$B$24*100</f>
        <v>100</v>
      </c>
      <c r="AA8" s="15" t="str">
        <f aca="false">IF(G8="","",(Scales!$C$4-G8)/(Scales!$C$4-Scales!$B$4)*100)</f>
        <v/>
      </c>
      <c r="AB8" s="15" t="str">
        <f aca="false">IF(H8="","",(H8-Scales!$B$5)/(Scales!$C$5-Scales!$B$5)*100)</f>
        <v/>
      </c>
      <c r="AC8" s="15" t="n">
        <f aca="false">(Scales!$C$6-I8)/(Scales!$C$6-Scales!$B$6)*100</f>
        <v>28.1045751633987</v>
      </c>
      <c r="AD8" s="15" t="n">
        <f aca="false">(Scales!$C$7-J8)/(Scales!$C$7-Scales!$B$7)*100</f>
        <v>4.90196078431372</v>
      </c>
      <c r="AE8" s="13" t="n">
        <f aca="false">8-COUNT(G8:N8)</f>
        <v>3</v>
      </c>
      <c r="AF8" s="13" t="n">
        <f aca="false">IF(D8="Inferred",100,IF(V8&gt;=2,0,50))</f>
        <v>50</v>
      </c>
      <c r="AG8" s="13" t="n">
        <f aca="false">IF(K8="",100,K8)</f>
        <v>100</v>
      </c>
      <c r="AH8" s="15" t="n">
        <f aca="false">IF(AA8="",AVERAGE(AC8,AD8),AVERAGE(AA8,AB8,AC8,AD8))</f>
        <v>16.5032679738562</v>
      </c>
      <c r="AI8" s="15" t="n">
        <f aca="false">AVERAGE(L8,M8,N8)</f>
        <v>60</v>
      </c>
      <c r="AJ8" s="15" t="n">
        <f aca="false">AVERAGE((T8-1)/(Scales!$B$36-1)*100,R8,U8)</f>
        <v>83.3333333333333</v>
      </c>
      <c r="AK8" s="15" t="n">
        <f aca="false">AVERAGE(Z8,S8/Scales!$B$34*100)</f>
        <v>87.5</v>
      </c>
      <c r="AL8" s="15" t="n">
        <f aca="false">MAX(W8*Scales!$B$16,X8*Scales!$B$17)</f>
        <v>0</v>
      </c>
      <c r="AM8" s="15" t="n">
        <f aca="false">AVERAGE(AG8,AE8/8*100)</f>
        <v>68.75</v>
      </c>
      <c r="AN8" s="15" t="n">
        <f aca="false">SUMPRODUCT(AH8:AM8,Scales!$B$11:$G$11)/Scales!$H$11</f>
        <v>57.3006535947712</v>
      </c>
      <c r="AO8" s="15" t="n">
        <f aca="false">SUMPRODUCT(AH8:AM8,Scales!$B$12:$G$12)/Scales!$H$12</f>
        <v>52.6811002178649</v>
      </c>
      <c r="AP8" s="15" t="n">
        <f aca="false">SUMPRODUCT(AH8:AM8,Scales!$B$13:$G$13)/Scales!$H$13</f>
        <v>48.5134803921569</v>
      </c>
      <c r="AQ8" s="13" t="str">
        <f aca="false">IF(AN8&gt;=Scales!$B$38,"High",IF(AN8&gt;=Scales!$B$37,"Medium","Low"))</f>
        <v>High</v>
      </c>
      <c r="AR8" s="13" t="str">
        <f aca="false">IF(D8&lt;&gt;"Confirmed","Low",IF(V8&gt;=2,"High","Medium"))</f>
        <v>Medium</v>
      </c>
      <c r="AS8" s="13" t="str">
        <f aca="false">IF(AE8=0,"High","Low")</f>
        <v>Low</v>
      </c>
      <c r="AT8" s="13" t="str">
        <f aca="false">IF(OR(AR8="Low",AS8="Low"),"Low",IF(OR(AR8="Medium",AS8="Medium"),"Medium","High"))</f>
        <v>Low</v>
      </c>
      <c r="AU8" s="13" t="str">
        <f aca="false">IF(D8="Inferred","Verify the link first (needs direct disclosure)",IF(AQ8="High",IF(AT8="Low","Verify data first","Search alternates now"),IF(AQ8="Medium","Prepare shortlist and monitor","Monitor")))</f>
        <v>Verify data first</v>
      </c>
      <c r="AV8" s="13" t="n">
        <f aca="false">RANK(AN8,$AN$2:$AN$25)</f>
        <v>7</v>
      </c>
      <c r="AW8" s="13" t="n">
        <f aca="false">RANK(AO8,$AO$2:$AO$25)</f>
        <v>7</v>
      </c>
      <c r="AX8" s="13" t="n">
        <f aca="false">RANK(AP8,$AP$2:$AP$25)</f>
        <v>7</v>
      </c>
    </row>
    <row r="9" customFormat="false" ht="15" hidden="false" customHeight="false" outlineLevel="0" collapsed="false">
      <c r="A9" s="13" t="s">
        <v>224</v>
      </c>
      <c r="B9" s="13" t="s">
        <v>55</v>
      </c>
      <c r="C9" s="13" t="s">
        <v>216</v>
      </c>
      <c r="D9" s="13" t="s">
        <v>53</v>
      </c>
      <c r="E9" s="13" t="s">
        <v>225</v>
      </c>
      <c r="F9" s="13" t="n">
        <f aca="false">MATCH(A9,Indicators!$A$2:$A$31,0)</f>
        <v>28</v>
      </c>
      <c r="G9" s="13" t="str">
        <f aca="false">IF(INDEX(Indicators!$C$2:$C$31,$F9)="","",INDEX(Indicators!$C$2:$C$31,$F9))</f>
        <v/>
      </c>
      <c r="H9" s="13" t="str">
        <f aca="false">IF(INDEX(Indicators!$D$2:$D$31,$F9)="","",INDEX(Indicators!$D$2:$D$31,$F9))</f>
        <v/>
      </c>
      <c r="I9" s="13" t="n">
        <f aca="false">IF(INDEX(Indicators!$E$2:$E$31,$F9)="","",INDEX(Indicators!$E$2:$E$31,$F9))</f>
        <v>87.3</v>
      </c>
      <c r="J9" s="13" t="n">
        <f aca="false">IF(INDEX(Indicators!$F$2:$F$31,$F9)="","",INDEX(Indicators!$F$2:$F$31,$F9))</f>
        <v>1.8</v>
      </c>
      <c r="K9" s="13" t="str">
        <f aca="false">IF(INDEX(Indicators!$G$2:$G$31,$F9)="","",INDEX(Indicators!$G$2:$G$31,$F9))</f>
        <v/>
      </c>
      <c r="L9" s="13" t="n">
        <f aca="false">IF(INDEX(Indicators!$H$2:$H$31,$F9)="","",INDEX(Indicators!$H$2:$H$31,$F9))</f>
        <v>58</v>
      </c>
      <c r="M9" s="13" t="n">
        <f aca="false">IF(INDEX(Indicators!$I$2:$I$31,$F9)="","",INDEX(Indicators!$I$2:$I$31,$F9))</f>
        <v>62</v>
      </c>
      <c r="N9" s="13" t="n">
        <f aca="false">IF(INDEX(Indicators!$J$2:$J$31,$F9)="","",INDEX(Indicators!$J$2:$J$31,$F9))</f>
        <v>52</v>
      </c>
      <c r="O9" s="14" t="n">
        <v>1</v>
      </c>
      <c r="P9" s="14" t="n">
        <v>1</v>
      </c>
      <c r="Q9" s="14" t="n">
        <v>1</v>
      </c>
      <c r="R9" s="14" t="n">
        <v>100</v>
      </c>
      <c r="S9" s="14" t="n">
        <v>12</v>
      </c>
      <c r="T9" s="14" t="n">
        <v>3</v>
      </c>
      <c r="U9" s="14" t="n">
        <v>50</v>
      </c>
      <c r="V9" s="14" t="n">
        <v>1</v>
      </c>
      <c r="W9" s="13" t="n">
        <f aca="false">IF(E9="Z01",1,0)</f>
        <v>0</v>
      </c>
      <c r="X9" s="14" t="n">
        <v>0</v>
      </c>
      <c r="Y9" s="13" t="n">
        <f aca="false">O9*Scales!$B$21+P9*Scales!$B$22+Q9*Scales!$B$23</f>
        <v>1560</v>
      </c>
      <c r="Z9" s="15" t="n">
        <f aca="false">Y9/Scales!$B$24*100</f>
        <v>100</v>
      </c>
      <c r="AA9" s="15" t="str">
        <f aca="false">IF(G9="","",(Scales!$C$4-G9)/(Scales!$C$4-Scales!$B$4)*100)</f>
        <v/>
      </c>
      <c r="AB9" s="15" t="str">
        <f aca="false">IF(H9="","",(H9-Scales!$B$5)/(Scales!$C$5-Scales!$B$5)*100)</f>
        <v/>
      </c>
      <c r="AC9" s="15" t="n">
        <f aca="false">(Scales!$C$6-I9)/(Scales!$C$6-Scales!$B$6)*100</f>
        <v>28.7581699346406</v>
      </c>
      <c r="AD9" s="15" t="n">
        <f aca="false">(Scales!$C$7-J9)/(Scales!$C$7-Scales!$B$7)*100</f>
        <v>4.90196078431372</v>
      </c>
      <c r="AE9" s="13" t="n">
        <f aca="false">8-COUNT(G9:N9)</f>
        <v>3</v>
      </c>
      <c r="AF9" s="13" t="n">
        <f aca="false">IF(D9="Inferred",100,IF(V9&gt;=2,0,50))</f>
        <v>50</v>
      </c>
      <c r="AG9" s="13" t="n">
        <f aca="false">IF(K9="",100,K9)</f>
        <v>100</v>
      </c>
      <c r="AH9" s="15" t="n">
        <f aca="false">IF(AA9="",AVERAGE(AC9,AD9),AVERAGE(AA9,AB9,AC9,AD9))</f>
        <v>16.8300653594771</v>
      </c>
      <c r="AI9" s="15" t="n">
        <f aca="false">AVERAGE(L9,M9,N9)</f>
        <v>57.3333333333333</v>
      </c>
      <c r="AJ9" s="15" t="n">
        <f aca="false">AVERAGE((T9-1)/(Scales!$B$36-1)*100,R9,U9)</f>
        <v>83.3333333333333</v>
      </c>
      <c r="AK9" s="15" t="n">
        <f aca="false">AVERAGE(Z9,S9/Scales!$B$34*100)</f>
        <v>87.5</v>
      </c>
      <c r="AL9" s="15" t="n">
        <f aca="false">MAX(W9*Scales!$B$16,X9*Scales!$B$17)</f>
        <v>0</v>
      </c>
      <c r="AM9" s="15" t="n">
        <f aca="false">AVERAGE(AG9,AE9/8*100)</f>
        <v>68.75</v>
      </c>
      <c r="AN9" s="15" t="n">
        <f aca="false">SUMPRODUCT(AH9:AM9,Scales!$B$11:$G$11)/Scales!$H$11</f>
        <v>56.9660130718954</v>
      </c>
      <c r="AO9" s="15" t="n">
        <f aca="false">SUMPRODUCT(AH9:AM9,Scales!$B$12:$G$12)/Scales!$H$12</f>
        <v>52.2911220043573</v>
      </c>
      <c r="AP9" s="15" t="n">
        <f aca="false">SUMPRODUCT(AH9:AM9,Scales!$B$13:$G$13)/Scales!$H$13</f>
        <v>48.0781862745098</v>
      </c>
      <c r="AQ9" s="13" t="str">
        <f aca="false">IF(AN9&gt;=Scales!$B$38,"High",IF(AN9&gt;=Scales!$B$37,"Medium","Low"))</f>
        <v>High</v>
      </c>
      <c r="AR9" s="13" t="str">
        <f aca="false">IF(D9&lt;&gt;"Confirmed","Low",IF(V9&gt;=2,"High","Medium"))</f>
        <v>Medium</v>
      </c>
      <c r="AS9" s="13" t="str">
        <f aca="false">IF(AE9=0,"High","Low")</f>
        <v>Low</v>
      </c>
      <c r="AT9" s="13" t="str">
        <f aca="false">IF(OR(AR9="Low",AS9="Low"),"Low",IF(OR(AR9="Medium",AS9="Medium"),"Medium","High"))</f>
        <v>Low</v>
      </c>
      <c r="AU9" s="13" t="str">
        <f aca="false">IF(D9="Inferred","Verify the link first (needs direct disclosure)",IF(AQ9="High",IF(AT9="Low","Verify data first","Search alternates now"),IF(AQ9="Medium","Prepare shortlist and monitor","Monitor")))</f>
        <v>Verify data first</v>
      </c>
      <c r="AV9" s="13" t="n">
        <f aca="false">RANK(AN9,$AN$2:$AN$25)</f>
        <v>8</v>
      </c>
      <c r="AW9" s="13" t="n">
        <f aca="false">RANK(AO9,$AO$2:$AO$25)</f>
        <v>8</v>
      </c>
      <c r="AX9" s="13" t="n">
        <f aca="false">RANK(AP9,$AP$2:$AP$25)</f>
        <v>8</v>
      </c>
    </row>
    <row r="10" customFormat="false" ht="15" hidden="false" customHeight="false" outlineLevel="0" collapsed="false">
      <c r="A10" s="13" t="s">
        <v>226</v>
      </c>
      <c r="B10" s="13" t="s">
        <v>81</v>
      </c>
      <c r="C10" s="13" t="s">
        <v>213</v>
      </c>
      <c r="D10" s="13" t="s">
        <v>53</v>
      </c>
      <c r="E10" s="13" t="s">
        <v>225</v>
      </c>
      <c r="F10" s="13" t="n">
        <f aca="false">MATCH(A10,Indicators!$A$2:$A$31,0)</f>
        <v>17</v>
      </c>
      <c r="G10" s="13" t="n">
        <f aca="false">IF(INDEX(Indicators!$C$2:$C$31,$F10)="","",INDEX(Indicators!$C$2:$C$31,$F10))</f>
        <v>1.37</v>
      </c>
      <c r="H10" s="13" t="n">
        <f aca="false">IF(INDEX(Indicators!$D$2:$D$31,$F10)="","",INDEX(Indicators!$D$2:$D$31,$F10))</f>
        <v>3</v>
      </c>
      <c r="I10" s="13" t="n">
        <f aca="false">IF(INDEX(Indicators!$E$2:$E$31,$F10)="","",INDEX(Indicators!$E$2:$E$31,$F10))</f>
        <v>89.5</v>
      </c>
      <c r="J10" s="13" t="n">
        <f aca="false">IF(INDEX(Indicators!$F$2:$F$31,$F10)="","",INDEX(Indicators!$F$2:$F$31,$F10))</f>
        <v>-0.6</v>
      </c>
      <c r="K10" s="13" t="n">
        <f aca="false">IF(INDEX(Indicators!$G$2:$G$31,$F10)="","",INDEX(Indicators!$G$2:$G$31,$F10))</f>
        <v>63</v>
      </c>
      <c r="L10" s="13" t="n">
        <f aca="false">IF(INDEX(Indicators!$H$2:$H$31,$F10)="","",INDEX(Indicators!$H$2:$H$31,$F10))</f>
        <v>58</v>
      </c>
      <c r="M10" s="13" t="n">
        <f aca="false">IF(INDEX(Indicators!$I$2:$I$31,$F10)="","",INDEX(Indicators!$I$2:$I$31,$F10))</f>
        <v>62</v>
      </c>
      <c r="N10" s="13" t="n">
        <f aca="false">IF(INDEX(Indicators!$J$2:$J$31,$F10)="","",INDEX(Indicators!$J$2:$J$31,$F10))</f>
        <v>52</v>
      </c>
      <c r="O10" s="14" t="n">
        <v>1</v>
      </c>
      <c r="P10" s="14" t="n">
        <v>1</v>
      </c>
      <c r="Q10" s="14" t="n">
        <v>1</v>
      </c>
      <c r="R10" s="14" t="n">
        <v>100</v>
      </c>
      <c r="S10" s="14" t="n">
        <v>16</v>
      </c>
      <c r="T10" s="14" t="n">
        <v>2</v>
      </c>
      <c r="U10" s="14" t="n">
        <v>50</v>
      </c>
      <c r="V10" s="14" t="n">
        <v>1</v>
      </c>
      <c r="W10" s="13" t="n">
        <f aca="false">IF(E10="Z01",1,0)</f>
        <v>0</v>
      </c>
      <c r="X10" s="14" t="n">
        <v>0</v>
      </c>
      <c r="Y10" s="13" t="n">
        <f aca="false">O10*Scales!$B$21+P10*Scales!$B$22+Q10*Scales!$B$23</f>
        <v>1560</v>
      </c>
      <c r="Z10" s="15" t="n">
        <f aca="false">Y10/Scales!$B$24*100</f>
        <v>100</v>
      </c>
      <c r="AA10" s="15" t="n">
        <f aca="false">IF(G10="","",(Scales!$C$4-G10)/(Scales!$C$4-Scales!$B$4)*100)</f>
        <v>60.7329842931937</v>
      </c>
      <c r="AB10" s="15" t="n">
        <f aca="false">IF(H10="","",(H10-Scales!$B$5)/(Scales!$C$5-Scales!$B$5)*100)</f>
        <v>32.258064516129</v>
      </c>
      <c r="AC10" s="15" t="n">
        <f aca="false">(Scales!$C$6-I10)/(Scales!$C$6-Scales!$B$6)*100</f>
        <v>14.3790849673203</v>
      </c>
      <c r="AD10" s="15" t="n">
        <f aca="false">(Scales!$C$7-J10)/(Scales!$C$7-Scales!$B$7)*100</f>
        <v>16.6666666666667</v>
      </c>
      <c r="AE10" s="13" t="n">
        <f aca="false">8-COUNT(G10:N10)</f>
        <v>0</v>
      </c>
      <c r="AF10" s="13" t="n">
        <f aca="false">IF(D10="Inferred",100,IF(V10&gt;=2,0,50))</f>
        <v>50</v>
      </c>
      <c r="AG10" s="13" t="n">
        <f aca="false">IF(K10="",100,K10)</f>
        <v>63</v>
      </c>
      <c r="AH10" s="15" t="n">
        <f aca="false">IF(AA10="",AVERAGE(AC10,AD10),AVERAGE(AA10,AB10,AC10,AD10))</f>
        <v>31.0092001108274</v>
      </c>
      <c r="AI10" s="15" t="n">
        <f aca="false">AVERAGE(L10,M10,N10)</f>
        <v>57.3333333333333</v>
      </c>
      <c r="AJ10" s="15" t="n">
        <f aca="false">AVERAGE((T10-1)/(Scales!$B$36-1)*100,R10,U10)</f>
        <v>66.6666666666667</v>
      </c>
      <c r="AK10" s="15" t="n">
        <f aca="false">AVERAGE(Z10,S10/Scales!$B$34*100)</f>
        <v>100</v>
      </c>
      <c r="AL10" s="15" t="n">
        <f aca="false">MAX(W10*Scales!$B$16,X10*Scales!$B$17)</f>
        <v>0</v>
      </c>
      <c r="AM10" s="15" t="n">
        <f aca="false">AVERAGE(AG10,AE10/8*100)</f>
        <v>31.5</v>
      </c>
      <c r="AN10" s="15" t="n">
        <f aca="false">SUMPRODUCT(AH10:AM10,Scales!$B$11:$G$11)/Scales!$H$11</f>
        <v>52.9518400221655</v>
      </c>
      <c r="AO10" s="15" t="n">
        <f aca="false">SUMPRODUCT(AH10:AM10,Scales!$B$12:$G$12)/Scales!$H$12</f>
        <v>47.7515333518046</v>
      </c>
      <c r="AP10" s="15" t="n">
        <f aca="false">SUMPRODUCT(AH10:AM10,Scales!$B$13:$G$13)/Scales!$H$13</f>
        <v>45.4944266999149</v>
      </c>
      <c r="AQ10" s="13" t="str">
        <f aca="false">IF(AN10&gt;=Scales!$B$38,"High",IF(AN10&gt;=Scales!$B$37,"Medium","Low"))</f>
        <v>Medium</v>
      </c>
      <c r="AR10" s="13" t="str">
        <f aca="false">IF(D10&lt;&gt;"Confirmed","Low",IF(V10&gt;=2,"High","Medium"))</f>
        <v>Medium</v>
      </c>
      <c r="AS10" s="13" t="str">
        <f aca="false">IF(AE10=0,"High","Low")</f>
        <v>High</v>
      </c>
      <c r="AT10" s="13" t="str">
        <f aca="false">IF(OR(AR10="Low",AS10="Low"),"Low",IF(OR(AR10="Medium",AS10="Medium"),"Medium","High"))</f>
        <v>Medium</v>
      </c>
      <c r="AU10" s="13" t="str">
        <f aca="false">IF(D10="Inferred","Verify the link first (needs direct disclosure)",IF(AQ10="High",IF(AT10="Low","Verify data first","Search alternates now"),IF(AQ10="Medium","Prepare shortlist and monitor","Monitor")))</f>
        <v>Prepare shortlist and monitor</v>
      </c>
      <c r="AV10" s="13" t="n">
        <f aca="false">RANK(AN10,$AN$2:$AN$25)</f>
        <v>9</v>
      </c>
      <c r="AW10" s="13" t="n">
        <f aca="false">RANK(AO10,$AO$2:$AO$25)</f>
        <v>10</v>
      </c>
      <c r="AX10" s="13" t="n">
        <f aca="false">RANK(AP10,$AP$2:$AP$25)</f>
        <v>9</v>
      </c>
    </row>
    <row r="11" customFormat="false" ht="15" hidden="false" customHeight="false" outlineLevel="0" collapsed="false">
      <c r="A11" s="13" t="s">
        <v>227</v>
      </c>
      <c r="B11" s="13" t="s">
        <v>84</v>
      </c>
      <c r="C11" s="13" t="s">
        <v>216</v>
      </c>
      <c r="D11" s="13" t="s">
        <v>53</v>
      </c>
      <c r="E11" s="13" t="s">
        <v>228</v>
      </c>
      <c r="F11" s="13" t="n">
        <f aca="false">MATCH(A11,Indicators!$A$2:$A$31,0)</f>
        <v>29</v>
      </c>
      <c r="G11" s="13" t="str">
        <f aca="false">IF(INDEX(Indicators!$C$2:$C$31,$F11)="","",INDEX(Indicators!$C$2:$C$31,$F11))</f>
        <v/>
      </c>
      <c r="H11" s="13" t="str">
        <f aca="false">IF(INDEX(Indicators!$D$2:$D$31,$F11)="","",INDEX(Indicators!$D$2:$D$31,$F11))</f>
        <v/>
      </c>
      <c r="I11" s="13" t="n">
        <f aca="false">IF(INDEX(Indicators!$E$2:$E$31,$F11)="","",INDEX(Indicators!$E$2:$E$31,$F11))</f>
        <v>90.1</v>
      </c>
      <c r="J11" s="13" t="n">
        <f aca="false">IF(INDEX(Indicators!$F$2:$F$31,$F11)="","",INDEX(Indicators!$F$2:$F$31,$F11))</f>
        <v>-1.2</v>
      </c>
      <c r="K11" s="13" t="str">
        <f aca="false">IF(INDEX(Indicators!$G$2:$G$31,$F11)="","",INDEX(Indicators!$G$2:$G$31,$F11))</f>
        <v/>
      </c>
      <c r="L11" s="13" t="n">
        <f aca="false">IF(INDEX(Indicators!$H$2:$H$31,$F11)="","",INDEX(Indicators!$H$2:$H$31,$F11))</f>
        <v>39</v>
      </c>
      <c r="M11" s="13" t="n">
        <f aca="false">IF(INDEX(Indicators!$I$2:$I$31,$F11)="","",INDEX(Indicators!$I$2:$I$31,$F11))</f>
        <v>47</v>
      </c>
      <c r="N11" s="13" t="n">
        <f aca="false">IF(INDEX(Indicators!$J$2:$J$31,$F11)="","",INDEX(Indicators!$J$2:$J$31,$F11))</f>
        <v>41</v>
      </c>
      <c r="O11" s="14" t="n">
        <v>1</v>
      </c>
      <c r="P11" s="14" t="n">
        <v>1</v>
      </c>
      <c r="Q11" s="14" t="n">
        <v>1</v>
      </c>
      <c r="R11" s="14" t="n">
        <v>100</v>
      </c>
      <c r="S11" s="14" t="n">
        <v>16</v>
      </c>
      <c r="T11" s="14" t="n">
        <v>2</v>
      </c>
      <c r="U11" s="14" t="n">
        <v>50</v>
      </c>
      <c r="V11" s="14" t="n">
        <v>1</v>
      </c>
      <c r="W11" s="13" t="n">
        <f aca="false">IF(E11="Z01",1,0)</f>
        <v>0</v>
      </c>
      <c r="X11" s="14" t="n">
        <v>0</v>
      </c>
      <c r="Y11" s="13" t="n">
        <f aca="false">O11*Scales!$B$21+P11*Scales!$B$22+Q11*Scales!$B$23</f>
        <v>1560</v>
      </c>
      <c r="Z11" s="15" t="n">
        <f aca="false">Y11/Scales!$B$24*100</f>
        <v>100</v>
      </c>
      <c r="AA11" s="15" t="str">
        <f aca="false">IF(G11="","",(Scales!$C$4-G11)/(Scales!$C$4-Scales!$B$4)*100)</f>
        <v/>
      </c>
      <c r="AB11" s="15" t="str">
        <f aca="false">IF(H11="","",(H11-Scales!$B$5)/(Scales!$C$5-Scales!$B$5)*100)</f>
        <v/>
      </c>
      <c r="AC11" s="15" t="n">
        <f aca="false">(Scales!$C$6-I11)/(Scales!$C$6-Scales!$B$6)*100</f>
        <v>10.4575163398693</v>
      </c>
      <c r="AD11" s="15" t="n">
        <f aca="false">(Scales!$C$7-J11)/(Scales!$C$7-Scales!$B$7)*100</f>
        <v>19.6078431372549</v>
      </c>
      <c r="AE11" s="13" t="n">
        <f aca="false">8-COUNT(G11:N11)</f>
        <v>3</v>
      </c>
      <c r="AF11" s="13" t="n">
        <f aca="false">IF(D11="Inferred",100,IF(V11&gt;=2,0,50))</f>
        <v>50</v>
      </c>
      <c r="AG11" s="13" t="n">
        <f aca="false">IF(K11="",100,K11)</f>
        <v>100</v>
      </c>
      <c r="AH11" s="15" t="n">
        <f aca="false">IF(AA11="",AVERAGE(AC11,AD11),AVERAGE(AA11,AB11,AC11,AD11))</f>
        <v>15.0326797385621</v>
      </c>
      <c r="AI11" s="15" t="n">
        <f aca="false">AVERAGE(L11,M11,N11)</f>
        <v>42.3333333333333</v>
      </c>
      <c r="AJ11" s="15" t="n">
        <f aca="false">AVERAGE((T11-1)/(Scales!$B$36-1)*100,R11,U11)</f>
        <v>66.6666666666667</v>
      </c>
      <c r="AK11" s="15" t="n">
        <f aca="false">AVERAGE(Z11,S11/Scales!$B$34*100)</f>
        <v>100</v>
      </c>
      <c r="AL11" s="15" t="n">
        <f aca="false">MAX(W11*Scales!$B$16,X11*Scales!$B$17)</f>
        <v>0</v>
      </c>
      <c r="AM11" s="15" t="n">
        <f aca="false">AVERAGE(AG11,AE11/8*100)</f>
        <v>68.75</v>
      </c>
      <c r="AN11" s="15" t="n">
        <f aca="false">SUMPRODUCT(AH11:AM11,Scales!$B$11:$G$11)/Scales!$H$11</f>
        <v>51.2315359477124</v>
      </c>
      <c r="AO11" s="15" t="n">
        <f aca="false">SUMPRODUCT(AH11:AM11,Scales!$B$12:$G$12)/Scales!$H$12</f>
        <v>48.7971132897604</v>
      </c>
      <c r="AP11" s="15" t="n">
        <f aca="false">SUMPRODUCT(AH11:AM11,Scales!$B$13:$G$13)/Scales!$H$13</f>
        <v>43.2889705882353</v>
      </c>
      <c r="AQ11" s="13" t="str">
        <f aca="false">IF(AN11&gt;=Scales!$B$38,"High",IF(AN11&gt;=Scales!$B$37,"Medium","Low"))</f>
        <v>Medium</v>
      </c>
      <c r="AR11" s="13" t="str">
        <f aca="false">IF(D11&lt;&gt;"Confirmed","Low",IF(V11&gt;=2,"High","Medium"))</f>
        <v>Medium</v>
      </c>
      <c r="AS11" s="13" t="str">
        <f aca="false">IF(AE11=0,"High","Low")</f>
        <v>Low</v>
      </c>
      <c r="AT11" s="13" t="str">
        <f aca="false">IF(OR(AR11="Low",AS11="Low"),"Low",IF(OR(AR11="Medium",AS11="Medium"),"Medium","High"))</f>
        <v>Low</v>
      </c>
      <c r="AU11" s="13" t="str">
        <f aca="false">IF(D11="Inferred","Verify the link first (needs direct disclosure)",IF(AQ11="High",IF(AT11="Low","Verify data first","Search alternates now"),IF(AQ11="Medium","Prepare shortlist and monitor","Monitor")))</f>
        <v>Prepare shortlist and monitor</v>
      </c>
      <c r="AV11" s="13" t="n">
        <f aca="false">RANK(AN11,$AN$2:$AN$25)</f>
        <v>10</v>
      </c>
      <c r="AW11" s="13" t="n">
        <f aca="false">RANK(AO11,$AO$2:$AO$25)</f>
        <v>9</v>
      </c>
      <c r="AX11" s="13" t="n">
        <f aca="false">RANK(AP11,$AP$2:$AP$25)</f>
        <v>11</v>
      </c>
    </row>
    <row r="12" customFormat="false" ht="15" hidden="false" customHeight="false" outlineLevel="0" collapsed="false">
      <c r="A12" s="13" t="s">
        <v>229</v>
      </c>
      <c r="B12" s="13" t="s">
        <v>230</v>
      </c>
      <c r="C12" s="13" t="s">
        <v>231</v>
      </c>
      <c r="D12" s="13" t="s">
        <v>53</v>
      </c>
      <c r="E12" s="13" t="s">
        <v>225</v>
      </c>
      <c r="F12" s="13" t="n">
        <f aca="false">MATCH(A12,Indicators!$A$2:$A$31,0)</f>
        <v>3</v>
      </c>
      <c r="G12" s="13" t="n">
        <f aca="false">IF(INDEX(Indicators!$C$2:$C$31,$F12)="","",INDEX(Indicators!$C$2:$C$31,$F12))</f>
        <v>2.34</v>
      </c>
      <c r="H12" s="13" t="n">
        <f aca="false">IF(INDEX(Indicators!$D$2:$D$31,$F12)="","",INDEX(Indicators!$D$2:$D$31,$F12))</f>
        <v>4</v>
      </c>
      <c r="I12" s="13" t="n">
        <f aca="false">IF(INDEX(Indicators!$E$2:$E$31,$F12)="","",INDEX(Indicators!$E$2:$E$31,$F12))</f>
        <v>83.3</v>
      </c>
      <c r="J12" s="13" t="n">
        <f aca="false">IF(INDEX(Indicators!$F$2:$F$31,$F12)="","",INDEX(Indicators!$F$2:$F$31,$F12))</f>
        <v>-2.3</v>
      </c>
      <c r="K12" s="13" t="n">
        <f aca="false">IF(INDEX(Indicators!$G$2:$G$31,$F12)="","",INDEX(Indicators!$G$2:$G$31,$F12))</f>
        <v>42</v>
      </c>
      <c r="L12" s="13" t="n">
        <f aca="false">IF(INDEX(Indicators!$H$2:$H$31,$F12)="","",INDEX(Indicators!$H$2:$H$31,$F12))</f>
        <v>58</v>
      </c>
      <c r="M12" s="13" t="n">
        <f aca="false">IF(INDEX(Indicators!$I$2:$I$31,$F12)="","",INDEX(Indicators!$I$2:$I$31,$F12))</f>
        <v>62</v>
      </c>
      <c r="N12" s="13" t="n">
        <f aca="false">IF(INDEX(Indicators!$J$2:$J$31,$F12)="","",INDEX(Indicators!$J$2:$J$31,$F12))</f>
        <v>52</v>
      </c>
      <c r="O12" s="14" t="n">
        <v>1</v>
      </c>
      <c r="P12" s="14" t="n">
        <v>1</v>
      </c>
      <c r="Q12" s="14" t="n">
        <v>1</v>
      </c>
      <c r="R12" s="14" t="n">
        <v>100</v>
      </c>
      <c r="S12" s="14" t="n">
        <v>12</v>
      </c>
      <c r="T12" s="14" t="n">
        <v>1</v>
      </c>
      <c r="U12" s="14" t="n">
        <v>100</v>
      </c>
      <c r="V12" s="14" t="n">
        <v>3</v>
      </c>
      <c r="W12" s="13" t="n">
        <f aca="false">IF(E12="Z01",1,0)</f>
        <v>0</v>
      </c>
      <c r="X12" s="14" t="n">
        <v>0</v>
      </c>
      <c r="Y12" s="13" t="n">
        <f aca="false">O12*Scales!$B$21+P12*Scales!$B$22+Q12*Scales!$B$23</f>
        <v>1560</v>
      </c>
      <c r="Z12" s="15" t="n">
        <f aca="false">Y12/Scales!$B$24*100</f>
        <v>100</v>
      </c>
      <c r="AA12" s="15" t="n">
        <f aca="false">IF(G12="","",(Scales!$C$4-G12)/(Scales!$C$4-Scales!$B$4)*100)</f>
        <v>9.94764397905759</v>
      </c>
      <c r="AB12" s="15" t="n">
        <f aca="false">IF(H12="","",(H12-Scales!$B$5)/(Scales!$C$5-Scales!$B$5)*100)</f>
        <v>48.3870967741935</v>
      </c>
      <c r="AC12" s="15" t="n">
        <f aca="false">(Scales!$C$6-I12)/(Scales!$C$6-Scales!$B$6)*100</f>
        <v>54.9019607843138</v>
      </c>
      <c r="AD12" s="15" t="n">
        <f aca="false">(Scales!$C$7-J12)/(Scales!$C$7-Scales!$B$7)*100</f>
        <v>25</v>
      </c>
      <c r="AE12" s="13" t="n">
        <f aca="false">8-COUNT(G12:N12)</f>
        <v>0</v>
      </c>
      <c r="AF12" s="13" t="n">
        <f aca="false">IF(D12="Inferred",100,IF(V12&gt;=2,0,50))</f>
        <v>0</v>
      </c>
      <c r="AG12" s="13" t="n">
        <f aca="false">IF(K12="",100,K12)</f>
        <v>42</v>
      </c>
      <c r="AH12" s="15" t="n">
        <f aca="false">IF(AA12="",AVERAGE(AC12,AD12),AVERAGE(AA12,AB12,AC12,AD12))</f>
        <v>34.5591753843912</v>
      </c>
      <c r="AI12" s="15" t="n">
        <f aca="false">AVERAGE(L12,M12,N12)</f>
        <v>57.3333333333333</v>
      </c>
      <c r="AJ12" s="15" t="n">
        <f aca="false">AVERAGE((T12-1)/(Scales!$B$36-1)*100,R12,U12)</f>
        <v>66.6666666666667</v>
      </c>
      <c r="AK12" s="15" t="n">
        <f aca="false">AVERAGE(Z12,S12/Scales!$B$34*100)</f>
        <v>87.5</v>
      </c>
      <c r="AL12" s="15" t="n">
        <f aca="false">MAX(W12*Scales!$B$16,X12*Scales!$B$17)</f>
        <v>0</v>
      </c>
      <c r="AM12" s="15" t="n">
        <f aca="false">AVERAGE(AG12,AE12/8*100)</f>
        <v>21</v>
      </c>
      <c r="AN12" s="15" t="n">
        <f aca="false">SUMPRODUCT(AH12:AM12,Scales!$B$11:$G$11)/Scales!$H$11</f>
        <v>50.7368350768783</v>
      </c>
      <c r="AO12" s="15" t="n">
        <f aca="false">SUMPRODUCT(AH12:AM12,Scales!$B$12:$G$12)/Scales!$H$12</f>
        <v>44.5098625640652</v>
      </c>
      <c r="AP12" s="15" t="n">
        <f aca="false">SUMPRODUCT(AH12:AM12,Scales!$B$13:$G$13)/Scales!$H$13</f>
        <v>43.734419281984</v>
      </c>
      <c r="AQ12" s="13" t="str">
        <f aca="false">IF(AN12&gt;=Scales!$B$38,"High",IF(AN12&gt;=Scales!$B$37,"Medium","Low"))</f>
        <v>Medium</v>
      </c>
      <c r="AR12" s="13" t="str">
        <f aca="false">IF(D12&lt;&gt;"Confirmed","Low",IF(V12&gt;=2,"High","Medium"))</f>
        <v>High</v>
      </c>
      <c r="AS12" s="13" t="str">
        <f aca="false">IF(AE12=0,"High","Low")</f>
        <v>High</v>
      </c>
      <c r="AT12" s="13" t="str">
        <f aca="false">IF(OR(AR12="Low",AS12="Low"),"Low",IF(OR(AR12="Medium",AS12="Medium"),"Medium","High"))</f>
        <v>High</v>
      </c>
      <c r="AU12" s="13" t="str">
        <f aca="false">IF(D12="Inferred","Verify the link first (needs direct disclosure)",IF(AQ12="High",IF(AT12="Low","Verify data first","Search alternates now"),IF(AQ12="Medium","Prepare shortlist and monitor","Monitor")))</f>
        <v>Prepare shortlist and monitor</v>
      </c>
      <c r="AV12" s="13" t="n">
        <f aca="false">RANK(AN12,$AN$2:$AN$25)</f>
        <v>11</v>
      </c>
      <c r="AW12" s="13" t="n">
        <f aca="false">RANK(AO12,$AO$2:$AO$25)</f>
        <v>11</v>
      </c>
      <c r="AX12" s="13" t="n">
        <f aca="false">RANK(AP12,$AP$2:$AP$25)</f>
        <v>10</v>
      </c>
    </row>
    <row r="13" customFormat="false" ht="15" hidden="false" customHeight="false" outlineLevel="0" collapsed="false">
      <c r="A13" s="13" t="s">
        <v>232</v>
      </c>
      <c r="B13" s="13" t="s">
        <v>57</v>
      </c>
      <c r="C13" s="13" t="s">
        <v>213</v>
      </c>
      <c r="D13" s="13" t="s">
        <v>53</v>
      </c>
      <c r="E13" s="13" t="s">
        <v>233</v>
      </c>
      <c r="F13" s="13" t="n">
        <f aca="false">MATCH(A13,Indicators!$A$2:$A$31,0)</f>
        <v>16</v>
      </c>
      <c r="G13" s="13" t="n">
        <f aca="false">IF(INDEX(Indicators!$C$2:$C$31,$F13)="","",INDEX(Indicators!$C$2:$C$31,$F13))</f>
        <v>1.86</v>
      </c>
      <c r="H13" s="13" t="n">
        <f aca="false">IF(INDEX(Indicators!$D$2:$D$31,$F13)="","",INDEX(Indicators!$D$2:$D$31,$F13))</f>
        <v>2</v>
      </c>
      <c r="I13" s="13" t="n">
        <f aca="false">IF(INDEX(Indicators!$E$2:$E$31,$F13)="","",INDEX(Indicators!$E$2:$E$31,$F13))</f>
        <v>87.3</v>
      </c>
      <c r="J13" s="13" t="n">
        <f aca="false">IF(INDEX(Indicators!$F$2:$F$31,$F13)="","",INDEX(Indicators!$F$2:$F$31,$F13))</f>
        <v>1.6</v>
      </c>
      <c r="K13" s="13" t="n">
        <f aca="false">IF(INDEX(Indicators!$G$2:$G$31,$F13)="","",INDEX(Indicators!$G$2:$G$31,$F13))</f>
        <v>54</v>
      </c>
      <c r="L13" s="13" t="n">
        <f aca="false">IF(INDEX(Indicators!$H$2:$H$31,$F13)="","",INDEX(Indicators!$H$2:$H$31,$F13))</f>
        <v>31</v>
      </c>
      <c r="M13" s="13" t="n">
        <f aca="false">IF(INDEX(Indicators!$I$2:$I$31,$F13)="","",INDEX(Indicators!$I$2:$I$31,$F13))</f>
        <v>23</v>
      </c>
      <c r="N13" s="13" t="n">
        <f aca="false">IF(INDEX(Indicators!$J$2:$J$31,$F13)="","",INDEX(Indicators!$J$2:$J$31,$F13))</f>
        <v>19</v>
      </c>
      <c r="O13" s="14" t="n">
        <v>1</v>
      </c>
      <c r="P13" s="14" t="n">
        <v>1</v>
      </c>
      <c r="Q13" s="14" t="n">
        <v>1</v>
      </c>
      <c r="R13" s="14" t="n">
        <v>100</v>
      </c>
      <c r="S13" s="14" t="n">
        <v>12</v>
      </c>
      <c r="T13" s="14" t="n">
        <v>2</v>
      </c>
      <c r="U13" s="14" t="n">
        <v>50</v>
      </c>
      <c r="V13" s="14" t="n">
        <v>1</v>
      </c>
      <c r="W13" s="13" t="n">
        <f aca="false">IF(E13="Z01",1,0)</f>
        <v>0</v>
      </c>
      <c r="X13" s="14" t="n">
        <v>0</v>
      </c>
      <c r="Y13" s="13" t="n">
        <f aca="false">O13*Scales!$B$21+P13*Scales!$B$22+Q13*Scales!$B$23</f>
        <v>1560</v>
      </c>
      <c r="Z13" s="15" t="n">
        <f aca="false">Y13/Scales!$B$24*100</f>
        <v>100</v>
      </c>
      <c r="AA13" s="15" t="n">
        <f aca="false">IF(G13="","",(Scales!$C$4-G13)/(Scales!$C$4-Scales!$B$4)*100)</f>
        <v>35.0785340314136</v>
      </c>
      <c r="AB13" s="15" t="n">
        <f aca="false">IF(H13="","",(H13-Scales!$B$5)/(Scales!$C$5-Scales!$B$5)*100)</f>
        <v>16.1290322580645</v>
      </c>
      <c r="AC13" s="15" t="n">
        <f aca="false">(Scales!$C$6-I13)/(Scales!$C$6-Scales!$B$6)*100</f>
        <v>28.7581699346406</v>
      </c>
      <c r="AD13" s="15" t="n">
        <f aca="false">(Scales!$C$7-J13)/(Scales!$C$7-Scales!$B$7)*100</f>
        <v>5.88235294117647</v>
      </c>
      <c r="AE13" s="13" t="n">
        <f aca="false">8-COUNT(G13:N13)</f>
        <v>0</v>
      </c>
      <c r="AF13" s="13" t="n">
        <f aca="false">IF(D13="Inferred",100,IF(V13&gt;=2,0,50))</f>
        <v>50</v>
      </c>
      <c r="AG13" s="13" t="n">
        <f aca="false">IF(K13="",100,K13)</f>
        <v>54</v>
      </c>
      <c r="AH13" s="15" t="n">
        <f aca="false">IF(AA13="",AVERAGE(AC13,AD13),AVERAGE(AA13,AB13,AC13,AD13))</f>
        <v>21.4620222913238</v>
      </c>
      <c r="AI13" s="15" t="n">
        <f aca="false">AVERAGE(L13,M13,N13)</f>
        <v>24.3333333333333</v>
      </c>
      <c r="AJ13" s="15" t="n">
        <f aca="false">AVERAGE((T13-1)/(Scales!$B$36-1)*100,R13,U13)</f>
        <v>66.6666666666667</v>
      </c>
      <c r="AK13" s="15" t="n">
        <f aca="false">AVERAGE(Z13,S13/Scales!$B$34*100)</f>
        <v>87.5</v>
      </c>
      <c r="AL13" s="15" t="n">
        <f aca="false">MAX(W13*Scales!$B$16,X13*Scales!$B$17)</f>
        <v>0</v>
      </c>
      <c r="AM13" s="15" t="n">
        <f aca="false">AVERAGE(AG13,AE13/8*100)</f>
        <v>27</v>
      </c>
      <c r="AN13" s="15" t="n">
        <f aca="false">SUMPRODUCT(AH13:AM13,Scales!$B$11:$G$11)/Scales!$H$11</f>
        <v>43.7674044582648</v>
      </c>
      <c r="AO13" s="15" t="n">
        <f aca="false">SUMPRODUCT(AH13:AM13,Scales!$B$12:$G$12)/Scales!$H$12</f>
        <v>37.8270037152206</v>
      </c>
      <c r="AP13" s="15" t="n">
        <f aca="false">SUMPRODUCT(AH13:AM13,Scales!$B$13:$G$13)/Scales!$H$13</f>
        <v>34.1052733540638</v>
      </c>
      <c r="AQ13" s="13" t="str">
        <f aca="false">IF(AN13&gt;=Scales!$B$38,"High",IF(AN13&gt;=Scales!$B$37,"Medium","Low"))</f>
        <v>Medium</v>
      </c>
      <c r="AR13" s="13" t="str">
        <f aca="false">IF(D13&lt;&gt;"Confirmed","Low",IF(V13&gt;=2,"High","Medium"))</f>
        <v>Medium</v>
      </c>
      <c r="AS13" s="13" t="str">
        <f aca="false">IF(AE13=0,"High","Low")</f>
        <v>High</v>
      </c>
      <c r="AT13" s="13" t="str">
        <f aca="false">IF(OR(AR13="Low",AS13="Low"),"Low",IF(OR(AR13="Medium",AS13="Medium"),"Medium","High"))</f>
        <v>Medium</v>
      </c>
      <c r="AU13" s="13" t="str">
        <f aca="false">IF(D13="Inferred","Verify the link first (needs direct disclosure)",IF(AQ13="High",IF(AT13="Low","Verify data first","Search alternates now"),IF(AQ13="Medium","Prepare shortlist and monitor","Monitor")))</f>
        <v>Prepare shortlist and monitor</v>
      </c>
      <c r="AV13" s="13" t="n">
        <f aca="false">RANK(AN13,$AN$2:$AN$25)</f>
        <v>12</v>
      </c>
      <c r="AW13" s="13" t="n">
        <f aca="false">RANK(AO13,$AO$2:$AO$25)</f>
        <v>13</v>
      </c>
      <c r="AX13" s="13" t="n">
        <f aca="false">RANK(AP13,$AP$2:$AP$25)</f>
        <v>17</v>
      </c>
    </row>
    <row r="14" customFormat="false" ht="15" hidden="false" customHeight="false" outlineLevel="0" collapsed="false">
      <c r="A14" s="13" t="s">
        <v>234</v>
      </c>
      <c r="B14" s="13" t="s">
        <v>60</v>
      </c>
      <c r="C14" s="13" t="s">
        <v>213</v>
      </c>
      <c r="D14" s="13" t="s">
        <v>53</v>
      </c>
      <c r="E14" s="13" t="s">
        <v>225</v>
      </c>
      <c r="F14" s="13" t="n">
        <f aca="false">MATCH(A14,Indicators!$A$2:$A$31,0)</f>
        <v>23</v>
      </c>
      <c r="G14" s="13" t="n">
        <f aca="false">IF(INDEX(Indicators!$C$2:$C$31,$F14)="","",INDEX(Indicators!$C$2:$C$31,$F14))</f>
        <v>2.04</v>
      </c>
      <c r="H14" s="13" t="n">
        <f aca="false">IF(INDEX(Indicators!$D$2:$D$31,$F14)="","",INDEX(Indicators!$D$2:$D$31,$F14))</f>
        <v>2.33</v>
      </c>
      <c r="I14" s="13" t="n">
        <f aca="false">IF(INDEX(Indicators!$E$2:$E$31,$F14)="","",INDEX(Indicators!$E$2:$E$31,$F14))</f>
        <v>89.3</v>
      </c>
      <c r="J14" s="13" t="n">
        <f aca="false">IF(INDEX(Indicators!$F$2:$F$31,$F14)="","",INDEX(Indicators!$F$2:$F$31,$F14))</f>
        <v>0.3</v>
      </c>
      <c r="K14" s="13" t="n">
        <f aca="false">IF(INDEX(Indicators!$G$2:$G$31,$F14)="","",INDEX(Indicators!$G$2:$G$31,$F14))</f>
        <v>57</v>
      </c>
      <c r="L14" s="13" t="n">
        <f aca="false">IF(INDEX(Indicators!$H$2:$H$31,$F14)="","",INDEX(Indicators!$H$2:$H$31,$F14))</f>
        <v>58</v>
      </c>
      <c r="M14" s="13" t="n">
        <f aca="false">IF(INDEX(Indicators!$I$2:$I$31,$F14)="","",INDEX(Indicators!$I$2:$I$31,$F14))</f>
        <v>62</v>
      </c>
      <c r="N14" s="13" t="n">
        <f aca="false">IF(INDEX(Indicators!$J$2:$J$31,$F14)="","",INDEX(Indicators!$J$2:$J$31,$F14))</f>
        <v>52</v>
      </c>
      <c r="O14" s="14" t="n">
        <v>1</v>
      </c>
      <c r="P14" s="14" t="n">
        <v>1</v>
      </c>
      <c r="Q14" s="14" t="n">
        <v>1</v>
      </c>
      <c r="R14" s="14" t="n">
        <v>100</v>
      </c>
      <c r="S14" s="14" t="n">
        <v>12</v>
      </c>
      <c r="T14" s="14" t="n">
        <v>1</v>
      </c>
      <c r="U14" s="14" t="n">
        <v>50</v>
      </c>
      <c r="V14" s="14" t="n">
        <v>1</v>
      </c>
      <c r="W14" s="13" t="n">
        <f aca="false">IF(E14="Z01",1,0)</f>
        <v>0</v>
      </c>
      <c r="X14" s="14" t="n">
        <v>0</v>
      </c>
      <c r="Y14" s="13" t="n">
        <f aca="false">O14*Scales!$B$21+P14*Scales!$B$22+Q14*Scales!$B$23</f>
        <v>1560</v>
      </c>
      <c r="Z14" s="15" t="n">
        <f aca="false">Y14/Scales!$B$24*100</f>
        <v>100</v>
      </c>
      <c r="AA14" s="15" t="n">
        <f aca="false">IF(G14="","",(Scales!$C$4-G14)/(Scales!$C$4-Scales!$B$4)*100)</f>
        <v>25.6544502617801</v>
      </c>
      <c r="AB14" s="15" t="n">
        <f aca="false">IF(H14="","",(H14-Scales!$B$5)/(Scales!$C$5-Scales!$B$5)*100)</f>
        <v>21.4516129032258</v>
      </c>
      <c r="AC14" s="15" t="n">
        <f aca="false">(Scales!$C$6-I14)/(Scales!$C$6-Scales!$B$6)*100</f>
        <v>15.686274509804</v>
      </c>
      <c r="AD14" s="15" t="n">
        <f aca="false">(Scales!$C$7-J14)/(Scales!$C$7-Scales!$B$7)*100</f>
        <v>12.2549019607843</v>
      </c>
      <c r="AE14" s="13" t="n">
        <f aca="false">8-COUNT(G14:N14)</f>
        <v>0</v>
      </c>
      <c r="AF14" s="13" t="n">
        <f aca="false">IF(D14="Inferred",100,IF(V14&gt;=2,0,50))</f>
        <v>50</v>
      </c>
      <c r="AG14" s="13" t="n">
        <f aca="false">IF(K14="",100,K14)</f>
        <v>57</v>
      </c>
      <c r="AH14" s="15" t="n">
        <f aca="false">IF(AA14="",AVERAGE(AC14,AD14),AVERAGE(AA14,AB14,AC14,AD14))</f>
        <v>18.7618099088985</v>
      </c>
      <c r="AI14" s="15" t="n">
        <f aca="false">AVERAGE(L14,M14,N14)</f>
        <v>57.3333333333333</v>
      </c>
      <c r="AJ14" s="15" t="n">
        <f aca="false">AVERAGE((T14-1)/(Scales!$B$36-1)*100,R14,U14)</f>
        <v>50</v>
      </c>
      <c r="AK14" s="15" t="n">
        <f aca="false">AVERAGE(Z14,S14/Scales!$B$34*100)</f>
        <v>87.5</v>
      </c>
      <c r="AL14" s="15" t="n">
        <f aca="false">MAX(W14*Scales!$B$16,X14*Scales!$B$17)</f>
        <v>0</v>
      </c>
      <c r="AM14" s="15" t="n">
        <f aca="false">AVERAGE(AG14,AE14/8*100)</f>
        <v>28.5</v>
      </c>
      <c r="AN14" s="15" t="n">
        <f aca="false">SUMPRODUCT(AH14:AM14,Scales!$B$11:$G$11)/Scales!$H$11</f>
        <v>43.3273619817797</v>
      </c>
      <c r="AO14" s="15" t="n">
        <f aca="false">SUMPRODUCT(AH14:AM14,Scales!$B$12:$G$12)/Scales!$H$12</f>
        <v>40.349190540372</v>
      </c>
      <c r="AP14" s="15" t="n">
        <f aca="false">SUMPRODUCT(AH14:AM14,Scales!$B$13:$G$13)/Scales!$H$13</f>
        <v>37.6202096393362</v>
      </c>
      <c r="AQ14" s="13" t="str">
        <f aca="false">IF(AN14&gt;=Scales!$B$38,"High",IF(AN14&gt;=Scales!$B$37,"Medium","Low"))</f>
        <v>Medium</v>
      </c>
      <c r="AR14" s="13" t="str">
        <f aca="false">IF(D14&lt;&gt;"Confirmed","Low",IF(V14&gt;=2,"High","Medium"))</f>
        <v>Medium</v>
      </c>
      <c r="AS14" s="13" t="str">
        <f aca="false">IF(AE14=0,"High","Low")</f>
        <v>High</v>
      </c>
      <c r="AT14" s="13" t="str">
        <f aca="false">IF(OR(AR14="Low",AS14="Low"),"Low",IF(OR(AR14="Medium",AS14="Medium"),"Medium","High"))</f>
        <v>Medium</v>
      </c>
      <c r="AU14" s="13" t="str">
        <f aca="false">IF(D14="Inferred","Verify the link first (needs direct disclosure)",IF(AQ14="High",IF(AT14="Low","Verify data first","Search alternates now"),IF(AQ14="Medium","Prepare shortlist and monitor","Monitor")))</f>
        <v>Prepare shortlist and monitor</v>
      </c>
      <c r="AV14" s="13" t="n">
        <f aca="false">RANK(AN14,$AN$2:$AN$25)</f>
        <v>13</v>
      </c>
      <c r="AW14" s="13" t="n">
        <f aca="false">RANK(AO14,$AO$2:$AO$25)</f>
        <v>12</v>
      </c>
      <c r="AX14" s="13" t="n">
        <f aca="false">RANK(AP14,$AP$2:$AP$25)</f>
        <v>13</v>
      </c>
    </row>
    <row r="15" customFormat="false" ht="15" hidden="false" customHeight="false" outlineLevel="0" collapsed="false">
      <c r="A15" s="13" t="s">
        <v>235</v>
      </c>
      <c r="B15" s="13" t="s">
        <v>67</v>
      </c>
      <c r="C15" s="13" t="s">
        <v>213</v>
      </c>
      <c r="D15" s="13" t="s">
        <v>53</v>
      </c>
      <c r="E15" s="13" t="s">
        <v>223</v>
      </c>
      <c r="F15" s="13" t="n">
        <f aca="false">MATCH(A15,Indicators!$A$2:$A$31,0)</f>
        <v>19</v>
      </c>
      <c r="G15" s="13" t="n">
        <f aca="false">IF(INDEX(Indicators!$C$2:$C$31,$F15)="","",INDEX(Indicators!$C$2:$C$31,$F15))</f>
        <v>1.54</v>
      </c>
      <c r="H15" s="13" t="n">
        <f aca="false">IF(INDEX(Indicators!$D$2:$D$31,$F15)="","",INDEX(Indicators!$D$2:$D$31,$F15))</f>
        <v>1.67</v>
      </c>
      <c r="I15" s="13" t="n">
        <f aca="false">IF(INDEX(Indicators!$E$2:$E$31,$F15)="","",INDEX(Indicators!$E$2:$E$31,$F15))</f>
        <v>79.3</v>
      </c>
      <c r="J15" s="13" t="n">
        <f aca="false">IF(INDEX(Indicators!$F$2:$F$31,$F15)="","",INDEX(Indicators!$F$2:$F$31,$F15))</f>
        <v>-3.5</v>
      </c>
      <c r="K15" s="13" t="n">
        <f aca="false">IF(INDEX(Indicators!$G$2:$G$31,$F15)="","",INDEX(Indicators!$G$2:$G$31,$F15))</f>
        <v>21</v>
      </c>
      <c r="L15" s="13" t="n">
        <f aca="false">IF(INDEX(Indicators!$H$2:$H$31,$F15)="","",INDEX(Indicators!$H$2:$H$31,$F15))</f>
        <v>67</v>
      </c>
      <c r="M15" s="13" t="n">
        <f aca="false">IF(INDEX(Indicators!$I$2:$I$31,$F15)="","",INDEX(Indicators!$I$2:$I$31,$F15))</f>
        <v>59</v>
      </c>
      <c r="N15" s="13" t="n">
        <f aca="false">IF(INDEX(Indicators!$J$2:$J$31,$F15)="","",INDEX(Indicators!$J$2:$J$31,$F15))</f>
        <v>54</v>
      </c>
      <c r="O15" s="14" t="n">
        <v>1</v>
      </c>
      <c r="P15" s="14" t="n">
        <v>1</v>
      </c>
      <c r="Q15" s="14" t="n">
        <v>0</v>
      </c>
      <c r="R15" s="14" t="n">
        <v>100</v>
      </c>
      <c r="S15" s="14" t="n">
        <v>8</v>
      </c>
      <c r="T15" s="14" t="n">
        <v>1</v>
      </c>
      <c r="U15" s="14" t="n">
        <v>50</v>
      </c>
      <c r="V15" s="14" t="n">
        <v>1</v>
      </c>
      <c r="W15" s="13" t="n">
        <f aca="false">IF(E15="Z01",1,0)</f>
        <v>0</v>
      </c>
      <c r="X15" s="14" t="n">
        <v>0</v>
      </c>
      <c r="Y15" s="13" t="n">
        <f aca="false">O15*Scales!$B$21+P15*Scales!$B$22+Q15*Scales!$B$23</f>
        <v>1144</v>
      </c>
      <c r="Z15" s="15" t="n">
        <f aca="false">Y15/Scales!$B$24*100</f>
        <v>73.3333333333333</v>
      </c>
      <c r="AA15" s="15" t="n">
        <f aca="false">IF(G15="","",(Scales!$C$4-G15)/(Scales!$C$4-Scales!$B$4)*100)</f>
        <v>51.8324607329843</v>
      </c>
      <c r="AB15" s="15" t="n">
        <f aca="false">IF(H15="","",(H15-Scales!$B$5)/(Scales!$C$5-Scales!$B$5)*100)</f>
        <v>10.8064516129032</v>
      </c>
      <c r="AC15" s="15" t="n">
        <f aca="false">(Scales!$C$6-I15)/(Scales!$C$6-Scales!$B$6)*100</f>
        <v>81.045751633987</v>
      </c>
      <c r="AD15" s="15" t="n">
        <f aca="false">(Scales!$C$7-J15)/(Scales!$C$7-Scales!$B$7)*100</f>
        <v>30.8823529411765</v>
      </c>
      <c r="AE15" s="13" t="n">
        <f aca="false">8-COUNT(G15:N15)</f>
        <v>0</v>
      </c>
      <c r="AF15" s="13" t="n">
        <f aca="false">IF(D15="Inferred",100,IF(V15&gt;=2,0,50))</f>
        <v>50</v>
      </c>
      <c r="AG15" s="13" t="n">
        <f aca="false">IF(K15="",100,K15)</f>
        <v>21</v>
      </c>
      <c r="AH15" s="15" t="n">
        <f aca="false">IF(AA15="",AVERAGE(AC15,AD15),AVERAGE(AA15,AB15,AC15,AD15))</f>
        <v>43.6417542302627</v>
      </c>
      <c r="AI15" s="15" t="n">
        <f aca="false">AVERAGE(L15,M15,N15)</f>
        <v>60</v>
      </c>
      <c r="AJ15" s="15" t="n">
        <f aca="false">AVERAGE((T15-1)/(Scales!$B$36-1)*100,R15,U15)</f>
        <v>50</v>
      </c>
      <c r="AK15" s="15" t="n">
        <f aca="false">AVERAGE(Z15,S15/Scales!$B$34*100)</f>
        <v>61.6666666666667</v>
      </c>
      <c r="AL15" s="15" t="n">
        <f aca="false">MAX(W15*Scales!$B$16,X15*Scales!$B$17)</f>
        <v>0</v>
      </c>
      <c r="AM15" s="15" t="n">
        <f aca="false">AVERAGE(AG15,AE15/8*100)</f>
        <v>10.5</v>
      </c>
      <c r="AN15" s="15" t="n">
        <f aca="false">SUMPRODUCT(AH15:AM15,Scales!$B$11:$G$11)/Scales!$H$11</f>
        <v>43.0283508460526</v>
      </c>
      <c r="AO15" s="15" t="n">
        <f aca="false">SUMPRODUCT(AH15:AM15,Scales!$B$12:$G$12)/Scales!$H$12</f>
        <v>37.6347368161549</v>
      </c>
      <c r="AP15" s="15" t="n">
        <f aca="false">SUMPRODUCT(AH15:AM15,Scales!$B$13:$G$13)/Scales!$H$13</f>
        <v>40.3341929357455</v>
      </c>
      <c r="AQ15" s="13" t="str">
        <f aca="false">IF(AN15&gt;=Scales!$B$38,"High",IF(AN15&gt;=Scales!$B$37,"Medium","Low"))</f>
        <v>Medium</v>
      </c>
      <c r="AR15" s="13" t="str">
        <f aca="false">IF(D15&lt;&gt;"Confirmed","Low",IF(V15&gt;=2,"High","Medium"))</f>
        <v>Medium</v>
      </c>
      <c r="AS15" s="13" t="str">
        <f aca="false">IF(AE15=0,"High","Low")</f>
        <v>High</v>
      </c>
      <c r="AT15" s="13" t="str">
        <f aca="false">IF(OR(AR15="Low",AS15="Low"),"Low",IF(OR(AR15="Medium",AS15="Medium"),"Medium","High"))</f>
        <v>Medium</v>
      </c>
      <c r="AU15" s="13" t="str">
        <f aca="false">IF(D15="Inferred","Verify the link first (needs direct disclosure)",IF(AQ15="High",IF(AT15="Low","Verify data first","Search alternates now"),IF(AQ15="Medium","Prepare shortlist and monitor","Monitor")))</f>
        <v>Prepare shortlist and monitor</v>
      </c>
      <c r="AV15" s="13" t="n">
        <f aca="false">RANK(AN15,$AN$2:$AN$25)</f>
        <v>14</v>
      </c>
      <c r="AW15" s="13" t="n">
        <f aca="false">RANK(AO15,$AO$2:$AO$25)</f>
        <v>14</v>
      </c>
      <c r="AX15" s="13" t="n">
        <f aca="false">RANK(AP15,$AP$2:$AP$25)</f>
        <v>12</v>
      </c>
    </row>
    <row r="16" customFormat="false" ht="15" hidden="false" customHeight="false" outlineLevel="0" collapsed="false">
      <c r="A16" s="13" t="s">
        <v>236</v>
      </c>
      <c r="B16" s="13" t="s">
        <v>237</v>
      </c>
      <c r="C16" s="13" t="s">
        <v>231</v>
      </c>
      <c r="D16" s="13" t="s">
        <v>53</v>
      </c>
      <c r="E16" s="13" t="s">
        <v>238</v>
      </c>
      <c r="F16" s="13" t="n">
        <f aca="false">MATCH(A16,Indicators!$A$2:$A$31,0)</f>
        <v>1</v>
      </c>
      <c r="G16" s="13" t="n">
        <f aca="false">IF(INDEX(Indicators!$C$2:$C$31,$F16)="","",INDEX(Indicators!$C$2:$C$31,$F16))</f>
        <v>2.13</v>
      </c>
      <c r="H16" s="13" t="n">
        <f aca="false">IF(INDEX(Indicators!$D$2:$D$31,$F16)="","",INDEX(Indicators!$D$2:$D$31,$F16))</f>
        <v>2</v>
      </c>
      <c r="I16" s="13" t="n">
        <f aca="false">IF(INDEX(Indicators!$E$2:$E$31,$F16)="","",INDEX(Indicators!$E$2:$E$31,$F16))</f>
        <v>80.9</v>
      </c>
      <c r="J16" s="13" t="n">
        <f aca="false">IF(INDEX(Indicators!$F$2:$F$31,$F16)="","",INDEX(Indicators!$F$2:$F$31,$F16))</f>
        <v>2.3</v>
      </c>
      <c r="K16" s="13" t="n">
        <f aca="false">IF(INDEX(Indicators!$G$2:$G$31,$F16)="","",INDEX(Indicators!$G$2:$G$31,$F16))</f>
        <v>24</v>
      </c>
      <c r="L16" s="13" t="n">
        <f aca="false">IF(INDEX(Indicators!$H$2:$H$31,$F16)="","",INDEX(Indicators!$H$2:$H$31,$F16))</f>
        <v>27</v>
      </c>
      <c r="M16" s="13" t="n">
        <f aca="false">IF(INDEX(Indicators!$I$2:$I$31,$F16)="","",INDEX(Indicators!$I$2:$I$31,$F16))</f>
        <v>30</v>
      </c>
      <c r="N16" s="13" t="n">
        <f aca="false">IF(INDEX(Indicators!$J$2:$J$31,$F16)="","",INDEX(Indicators!$J$2:$J$31,$F16))</f>
        <v>24</v>
      </c>
      <c r="O16" s="14" t="n">
        <v>1</v>
      </c>
      <c r="P16" s="14" t="n">
        <v>1</v>
      </c>
      <c r="Q16" s="14" t="n">
        <v>1</v>
      </c>
      <c r="R16" s="14" t="n">
        <v>70</v>
      </c>
      <c r="S16" s="14" t="n">
        <v>16</v>
      </c>
      <c r="T16" s="14" t="n">
        <v>2</v>
      </c>
      <c r="U16" s="14" t="n">
        <v>50</v>
      </c>
      <c r="V16" s="14" t="n">
        <v>3</v>
      </c>
      <c r="W16" s="13" t="n">
        <f aca="false">IF(E16="Z01",1,0)</f>
        <v>0</v>
      </c>
      <c r="X16" s="14" t="n">
        <v>0</v>
      </c>
      <c r="Y16" s="13" t="n">
        <f aca="false">O16*Scales!$B$21+P16*Scales!$B$22+Q16*Scales!$B$23</f>
        <v>1560</v>
      </c>
      <c r="Z16" s="15" t="n">
        <f aca="false">Y16/Scales!$B$24*100</f>
        <v>100</v>
      </c>
      <c r="AA16" s="15" t="n">
        <f aca="false">IF(G16="","",(Scales!$C$4-G16)/(Scales!$C$4-Scales!$B$4)*100)</f>
        <v>20.9424083769634</v>
      </c>
      <c r="AB16" s="15" t="n">
        <f aca="false">IF(H16="","",(H16-Scales!$B$5)/(Scales!$C$5-Scales!$B$5)*100)</f>
        <v>16.1290322580645</v>
      </c>
      <c r="AC16" s="15" t="n">
        <f aca="false">(Scales!$C$6-I16)/(Scales!$C$6-Scales!$B$6)*100</f>
        <v>70.5882352941176</v>
      </c>
      <c r="AD16" s="15" t="n">
        <f aca="false">(Scales!$C$7-J16)/(Scales!$C$7-Scales!$B$7)*100</f>
        <v>2.45098039215686</v>
      </c>
      <c r="AE16" s="13" t="n">
        <f aca="false">8-COUNT(G16:N16)</f>
        <v>0</v>
      </c>
      <c r="AF16" s="13" t="n">
        <f aca="false">IF(D16="Inferred",100,IF(V16&gt;=2,0,50))</f>
        <v>0</v>
      </c>
      <c r="AG16" s="13" t="n">
        <f aca="false">IF(K16="",100,K16)</f>
        <v>24</v>
      </c>
      <c r="AH16" s="15" t="n">
        <f aca="false">IF(AA16="",AVERAGE(AC16,AD16),AVERAGE(AA16,AB16,AC16,AD16))</f>
        <v>27.5276640803256</v>
      </c>
      <c r="AI16" s="15" t="n">
        <f aca="false">AVERAGE(L16,M16,N16)</f>
        <v>27</v>
      </c>
      <c r="AJ16" s="15" t="n">
        <f aca="false">AVERAGE((T16-1)/(Scales!$B$36-1)*100,R16,U16)</f>
        <v>56.6666666666667</v>
      </c>
      <c r="AK16" s="15" t="n">
        <f aca="false">AVERAGE(Z16,S16/Scales!$B$34*100)</f>
        <v>100</v>
      </c>
      <c r="AL16" s="15" t="n">
        <f aca="false">MAX(W16*Scales!$B$16,X16*Scales!$B$17)</f>
        <v>0</v>
      </c>
      <c r="AM16" s="15" t="n">
        <f aca="false">AVERAGE(AG16,AE16/8*100)</f>
        <v>12</v>
      </c>
      <c r="AN16" s="15" t="n">
        <f aca="false">SUMPRODUCT(AH16:AM16,Scales!$B$11:$G$11)/Scales!$H$11</f>
        <v>42.7555328160651</v>
      </c>
      <c r="AO16" s="15" t="n">
        <f aca="false">SUMPRODUCT(AH16:AM16,Scales!$B$12:$G$12)/Scales!$H$12</f>
        <v>37.1990551244987</v>
      </c>
      <c r="AP16" s="15" t="n">
        <f aca="false">SUMPRODUCT(AH16:AM16,Scales!$B$13:$G$13)/Scales!$H$13</f>
        <v>33.9582992240977</v>
      </c>
      <c r="AQ16" s="13" t="str">
        <f aca="false">IF(AN16&gt;=Scales!$B$38,"High",IF(AN16&gt;=Scales!$B$37,"Medium","Low"))</f>
        <v>Medium</v>
      </c>
      <c r="AR16" s="13" t="str">
        <f aca="false">IF(D16&lt;&gt;"Confirmed","Low",IF(V16&gt;=2,"High","Medium"))</f>
        <v>High</v>
      </c>
      <c r="AS16" s="13" t="str">
        <f aca="false">IF(AE16=0,"High","Low")</f>
        <v>High</v>
      </c>
      <c r="AT16" s="13" t="str">
        <f aca="false">IF(OR(AR16="Low",AS16="Low"),"Low",IF(OR(AR16="Medium",AS16="Medium"),"Medium","High"))</f>
        <v>High</v>
      </c>
      <c r="AU16" s="13" t="str">
        <f aca="false">IF(D16="Inferred","Verify the link first (needs direct disclosure)",IF(AQ16="High",IF(AT16="Low","Verify data first","Search alternates now"),IF(AQ16="Medium","Prepare shortlist and monitor","Monitor")))</f>
        <v>Prepare shortlist and monitor</v>
      </c>
      <c r="AV16" s="13" t="n">
        <f aca="false">RANK(AN16,$AN$2:$AN$25)</f>
        <v>15</v>
      </c>
      <c r="AW16" s="13" t="n">
        <f aca="false">RANK(AO16,$AO$2:$AO$25)</f>
        <v>16</v>
      </c>
      <c r="AX16" s="13" t="n">
        <f aca="false">RANK(AP16,$AP$2:$AP$25)</f>
        <v>19</v>
      </c>
    </row>
    <row r="17" customFormat="false" ht="15" hidden="false" customHeight="false" outlineLevel="0" collapsed="false">
      <c r="A17" s="13" t="s">
        <v>239</v>
      </c>
      <c r="B17" s="13" t="s">
        <v>240</v>
      </c>
      <c r="C17" s="13" t="s">
        <v>231</v>
      </c>
      <c r="D17" s="13" t="s">
        <v>53</v>
      </c>
      <c r="E17" s="13" t="s">
        <v>223</v>
      </c>
      <c r="F17" s="13" t="n">
        <f aca="false">MATCH(A17,Indicators!$A$2:$A$31,0)</f>
        <v>7</v>
      </c>
      <c r="G17" s="13" t="n">
        <f aca="false">IF(INDEX(Indicators!$C$2:$C$31,$F17)="","",INDEX(Indicators!$C$2:$C$31,$F17))</f>
        <v>2.53</v>
      </c>
      <c r="H17" s="13" t="n">
        <f aca="false">IF(INDEX(Indicators!$D$2:$D$31,$F17)="","",INDEX(Indicators!$D$2:$D$31,$F17))</f>
        <v>2.67</v>
      </c>
      <c r="I17" s="13" t="n">
        <f aca="false">IF(INDEX(Indicators!$E$2:$E$31,$F17)="","",INDEX(Indicators!$E$2:$E$31,$F17))</f>
        <v>89.7</v>
      </c>
      <c r="J17" s="13" t="n">
        <f aca="false">IF(INDEX(Indicators!$F$2:$F$31,$F17)="","",INDEX(Indicators!$F$2:$F$31,$F17))</f>
        <v>1.8</v>
      </c>
      <c r="K17" s="13" t="n">
        <f aca="false">IF(INDEX(Indicators!$G$2:$G$31,$F17)="","",INDEX(Indicators!$G$2:$G$31,$F17))</f>
        <v>60</v>
      </c>
      <c r="L17" s="13" t="n">
        <f aca="false">IF(INDEX(Indicators!$H$2:$H$31,$F17)="","",INDEX(Indicators!$H$2:$H$31,$F17))</f>
        <v>67</v>
      </c>
      <c r="M17" s="13" t="n">
        <f aca="false">IF(INDEX(Indicators!$I$2:$I$31,$F17)="","",INDEX(Indicators!$I$2:$I$31,$F17))</f>
        <v>59</v>
      </c>
      <c r="N17" s="13" t="n">
        <f aca="false">IF(INDEX(Indicators!$J$2:$J$31,$F17)="","",INDEX(Indicators!$J$2:$J$31,$F17))</f>
        <v>54</v>
      </c>
      <c r="O17" s="14" t="n">
        <v>0</v>
      </c>
      <c r="P17" s="14" t="n">
        <v>1</v>
      </c>
      <c r="Q17" s="14" t="n">
        <v>1</v>
      </c>
      <c r="R17" s="14" t="n">
        <v>100</v>
      </c>
      <c r="S17" s="14" t="n">
        <v>6</v>
      </c>
      <c r="T17" s="14" t="n">
        <v>1</v>
      </c>
      <c r="U17" s="14" t="n">
        <v>100</v>
      </c>
      <c r="V17" s="14" t="n">
        <v>2</v>
      </c>
      <c r="W17" s="13" t="n">
        <f aca="false">IF(E17="Z01",1,0)</f>
        <v>0</v>
      </c>
      <c r="X17" s="14" t="n">
        <v>0</v>
      </c>
      <c r="Y17" s="13" t="n">
        <f aca="false">O17*Scales!$B$21+P17*Scales!$B$22+Q17*Scales!$B$23</f>
        <v>936</v>
      </c>
      <c r="Z17" s="15" t="n">
        <f aca="false">Y17/Scales!$B$24*100</f>
        <v>60</v>
      </c>
      <c r="AA17" s="15" t="n">
        <f aca="false">IF(G17="","",(Scales!$C$4-G17)/(Scales!$C$4-Scales!$B$4)*100)</f>
        <v>0</v>
      </c>
      <c r="AB17" s="15" t="n">
        <f aca="false">IF(H17="","",(H17-Scales!$B$5)/(Scales!$C$5-Scales!$B$5)*100)</f>
        <v>26.9354838709677</v>
      </c>
      <c r="AC17" s="15" t="n">
        <f aca="false">(Scales!$C$6-I17)/(Scales!$C$6-Scales!$B$6)*100</f>
        <v>13.0718954248366</v>
      </c>
      <c r="AD17" s="15" t="n">
        <f aca="false">(Scales!$C$7-J17)/(Scales!$C$7-Scales!$B$7)*100</f>
        <v>4.90196078431372</v>
      </c>
      <c r="AE17" s="13" t="n">
        <f aca="false">8-COUNT(G17:N17)</f>
        <v>0</v>
      </c>
      <c r="AF17" s="13" t="n">
        <f aca="false">IF(D17="Inferred",100,IF(V17&gt;=2,0,50))</f>
        <v>0</v>
      </c>
      <c r="AG17" s="13" t="n">
        <f aca="false">IF(K17="",100,K17)</f>
        <v>60</v>
      </c>
      <c r="AH17" s="15" t="n">
        <f aca="false">IF(AA17="",AVERAGE(AC17,AD17),AVERAGE(AA17,AB17,AC17,AD17))</f>
        <v>11.2273350200295</v>
      </c>
      <c r="AI17" s="15" t="n">
        <f aca="false">AVERAGE(L17,M17,N17)</f>
        <v>60</v>
      </c>
      <c r="AJ17" s="15" t="n">
        <f aca="false">AVERAGE((T17-1)/(Scales!$B$36-1)*100,R17,U17)</f>
        <v>66.6666666666667</v>
      </c>
      <c r="AK17" s="15" t="n">
        <f aca="false">AVERAGE(Z17,S17/Scales!$B$34*100)</f>
        <v>48.75</v>
      </c>
      <c r="AL17" s="15" t="n">
        <f aca="false">MAX(W17*Scales!$B$16,X17*Scales!$B$17)</f>
        <v>0</v>
      </c>
      <c r="AM17" s="15" t="n">
        <f aca="false">AVERAGE(AG17,AE17/8*100)</f>
        <v>30</v>
      </c>
      <c r="AN17" s="15" t="n">
        <f aca="false">SUMPRODUCT(AH17:AM17,Scales!$B$11:$G$11)/Scales!$H$11</f>
        <v>41.5579670040059</v>
      </c>
      <c r="AO17" s="15" t="n">
        <f aca="false">SUMPRODUCT(AH17:AM17,Scales!$B$12:$G$12)/Scales!$H$12</f>
        <v>36.1073336144494</v>
      </c>
      <c r="AP17" s="15" t="n">
        <f aca="false">SUMPRODUCT(AH17:AM17,Scales!$B$13:$G$13)/Scales!$H$13</f>
        <v>34.7432005060089</v>
      </c>
      <c r="AQ17" s="13" t="str">
        <f aca="false">IF(AN17&gt;=Scales!$B$38,"High",IF(AN17&gt;=Scales!$B$37,"Medium","Low"))</f>
        <v>Medium</v>
      </c>
      <c r="AR17" s="13" t="str">
        <f aca="false">IF(D17&lt;&gt;"Confirmed","Low",IF(V17&gt;=2,"High","Medium"))</f>
        <v>High</v>
      </c>
      <c r="AS17" s="13" t="str">
        <f aca="false">IF(AE17=0,"High","Low")</f>
        <v>High</v>
      </c>
      <c r="AT17" s="13" t="str">
        <f aca="false">IF(OR(AR17="Low",AS17="Low"),"Low",IF(OR(AR17="Medium",AS17="Medium"),"Medium","High"))</f>
        <v>High</v>
      </c>
      <c r="AU17" s="13" t="str">
        <f aca="false">IF(D17="Inferred","Verify the link first (needs direct disclosure)",IF(AQ17="High",IF(AT17="Low","Verify data first","Search alternates now"),IF(AQ17="Medium","Prepare shortlist and monitor","Monitor")))</f>
        <v>Prepare shortlist and monitor</v>
      </c>
      <c r="AV17" s="13" t="n">
        <f aca="false">RANK(AN17,$AN$2:$AN$25)</f>
        <v>16</v>
      </c>
      <c r="AW17" s="13" t="n">
        <f aca="false">RANK(AO17,$AO$2:$AO$25)</f>
        <v>17</v>
      </c>
      <c r="AX17" s="13" t="n">
        <f aca="false">RANK(AP17,$AP$2:$AP$25)</f>
        <v>16</v>
      </c>
    </row>
    <row r="18" customFormat="false" ht="15" hidden="false" customHeight="false" outlineLevel="0" collapsed="false">
      <c r="A18" s="13" t="s">
        <v>241</v>
      </c>
      <c r="B18" s="13" t="s">
        <v>242</v>
      </c>
      <c r="C18" s="13" t="s">
        <v>231</v>
      </c>
      <c r="D18" s="13" t="s">
        <v>53</v>
      </c>
      <c r="E18" s="13" t="s">
        <v>233</v>
      </c>
      <c r="F18" s="13" t="n">
        <f aca="false">MATCH(A18,Indicators!$A$2:$A$31,0)</f>
        <v>2</v>
      </c>
      <c r="G18" s="13" t="n">
        <f aca="false">IF(INDEX(Indicators!$C$2:$C$31,$F18)="","",INDEX(Indicators!$C$2:$C$31,$F18))</f>
        <v>1.54</v>
      </c>
      <c r="H18" s="13" t="n">
        <f aca="false">IF(INDEX(Indicators!$D$2:$D$31,$F18)="","",INDEX(Indicators!$D$2:$D$31,$F18))</f>
        <v>3</v>
      </c>
      <c r="I18" s="13" t="n">
        <f aca="false">IF(INDEX(Indicators!$E$2:$E$31,$F18)="","",INDEX(Indicators!$E$2:$E$31,$F18))</f>
        <v>83.1</v>
      </c>
      <c r="J18" s="13" t="n">
        <f aca="false">IF(INDEX(Indicators!$F$2:$F$31,$F18)="","",INDEX(Indicators!$F$2:$F$31,$F18))</f>
        <v>2.2</v>
      </c>
      <c r="K18" s="13" t="n">
        <f aca="false">IF(INDEX(Indicators!$G$2:$G$31,$F18)="","",INDEX(Indicators!$G$2:$G$31,$F18))</f>
        <v>33</v>
      </c>
      <c r="L18" s="13" t="n">
        <f aca="false">IF(INDEX(Indicators!$H$2:$H$31,$F18)="","",INDEX(Indicators!$H$2:$H$31,$F18))</f>
        <v>31</v>
      </c>
      <c r="M18" s="13" t="n">
        <f aca="false">IF(INDEX(Indicators!$I$2:$I$31,$F18)="","",INDEX(Indicators!$I$2:$I$31,$F18))</f>
        <v>23</v>
      </c>
      <c r="N18" s="13" t="n">
        <f aca="false">IF(INDEX(Indicators!$J$2:$J$31,$F18)="","",INDEX(Indicators!$J$2:$J$31,$F18))</f>
        <v>19</v>
      </c>
      <c r="O18" s="14" t="n">
        <v>1</v>
      </c>
      <c r="P18" s="14" t="n">
        <v>1</v>
      </c>
      <c r="Q18" s="14" t="n">
        <v>1</v>
      </c>
      <c r="R18" s="14" t="n">
        <v>40</v>
      </c>
      <c r="S18" s="14" t="n">
        <v>16</v>
      </c>
      <c r="T18" s="14" t="n">
        <v>2</v>
      </c>
      <c r="U18" s="14" t="n">
        <v>50</v>
      </c>
      <c r="V18" s="14" t="n">
        <v>3</v>
      </c>
      <c r="W18" s="13" t="n">
        <f aca="false">IF(E18="Z01",1,0)</f>
        <v>0</v>
      </c>
      <c r="X18" s="14" t="n">
        <v>0</v>
      </c>
      <c r="Y18" s="13" t="n">
        <f aca="false">O18*Scales!$B$21+P18*Scales!$B$22+Q18*Scales!$B$23</f>
        <v>1560</v>
      </c>
      <c r="Z18" s="15" t="n">
        <f aca="false">Y18/Scales!$B$24*100</f>
        <v>100</v>
      </c>
      <c r="AA18" s="15" t="n">
        <f aca="false">IF(G18="","",(Scales!$C$4-G18)/(Scales!$C$4-Scales!$B$4)*100)</f>
        <v>51.8324607329843</v>
      </c>
      <c r="AB18" s="15" t="n">
        <f aca="false">IF(H18="","",(H18-Scales!$B$5)/(Scales!$C$5-Scales!$B$5)*100)</f>
        <v>32.258064516129</v>
      </c>
      <c r="AC18" s="15" t="n">
        <f aca="false">(Scales!$C$6-I18)/(Scales!$C$6-Scales!$B$6)*100</f>
        <v>56.2091503267975</v>
      </c>
      <c r="AD18" s="15" t="n">
        <f aca="false">(Scales!$C$7-J18)/(Scales!$C$7-Scales!$B$7)*100</f>
        <v>2.94117647058823</v>
      </c>
      <c r="AE18" s="13" t="n">
        <f aca="false">8-COUNT(G18:N18)</f>
        <v>0</v>
      </c>
      <c r="AF18" s="13" t="n">
        <f aca="false">IF(D18="Inferred",100,IF(V18&gt;=2,0,50))</f>
        <v>0</v>
      </c>
      <c r="AG18" s="13" t="n">
        <f aca="false">IF(K18="",100,K18)</f>
        <v>33</v>
      </c>
      <c r="AH18" s="15" t="n">
        <f aca="false">IF(AA18="",AVERAGE(AC18,AD18),AVERAGE(AA18,AB18,AC18,AD18))</f>
        <v>35.8102130116248</v>
      </c>
      <c r="AI18" s="15" t="n">
        <f aca="false">AVERAGE(L18,M18,N18)</f>
        <v>24.3333333333333</v>
      </c>
      <c r="AJ18" s="15" t="n">
        <f aca="false">AVERAGE((T18-1)/(Scales!$B$36-1)*100,R18,U18)</f>
        <v>46.6666666666667</v>
      </c>
      <c r="AK18" s="15" t="n">
        <f aca="false">AVERAGE(Z18,S18/Scales!$B$34*100)</f>
        <v>100</v>
      </c>
      <c r="AL18" s="15" t="n">
        <f aca="false">MAX(W18*Scales!$B$16,X18*Scales!$B$17)</f>
        <v>0</v>
      </c>
      <c r="AM18" s="15" t="n">
        <f aca="false">AVERAGE(AG18,AE18/8*100)</f>
        <v>16.5</v>
      </c>
      <c r="AN18" s="15" t="n">
        <f aca="false">SUMPRODUCT(AH18:AM18,Scales!$B$11:$G$11)/Scales!$H$11</f>
        <v>41.4620426023249</v>
      </c>
      <c r="AO18" s="15" t="n">
        <f aca="false">SUMPRODUCT(AH18:AM18,Scales!$B$12:$G$12)/Scales!$H$12</f>
        <v>37.2183688352708</v>
      </c>
      <c r="AP18" s="15" t="n">
        <f aca="false">SUMPRODUCT(AH18:AM18,Scales!$B$13:$G$13)/Scales!$H$13</f>
        <v>35.0847305701541</v>
      </c>
      <c r="AQ18" s="13" t="str">
        <f aca="false">IF(AN18&gt;=Scales!$B$38,"High",IF(AN18&gt;=Scales!$B$37,"Medium","Low"))</f>
        <v>Low</v>
      </c>
      <c r="AR18" s="13" t="str">
        <f aca="false">IF(D18&lt;&gt;"Confirmed","Low",IF(V18&gt;=2,"High","Medium"))</f>
        <v>High</v>
      </c>
      <c r="AS18" s="13" t="str">
        <f aca="false">IF(AE18=0,"High","Low")</f>
        <v>High</v>
      </c>
      <c r="AT18" s="13" t="str">
        <f aca="false">IF(OR(AR18="Low",AS18="Low"),"Low",IF(OR(AR18="Medium",AS18="Medium"),"Medium","High"))</f>
        <v>High</v>
      </c>
      <c r="AU18" s="13" t="str">
        <f aca="false">IF(D18="Inferred","Verify the link first (needs direct disclosure)",IF(AQ18="High",IF(AT18="Low","Verify data first","Search alternates now"),IF(AQ18="Medium","Prepare shortlist and monitor","Monitor")))</f>
        <v>Monitor</v>
      </c>
      <c r="AV18" s="13" t="n">
        <f aca="false">RANK(AN18,$AN$2:$AN$25)</f>
        <v>17</v>
      </c>
      <c r="AW18" s="13" t="n">
        <f aca="false">RANK(AO18,$AO$2:$AO$25)</f>
        <v>15</v>
      </c>
      <c r="AX18" s="13" t="n">
        <f aca="false">RANK(AP18,$AP$2:$AP$25)</f>
        <v>15</v>
      </c>
    </row>
    <row r="19" customFormat="false" ht="15" hidden="false" customHeight="false" outlineLevel="0" collapsed="false">
      <c r="A19" s="13" t="s">
        <v>243</v>
      </c>
      <c r="B19" s="13" t="s">
        <v>94</v>
      </c>
      <c r="C19" s="13" t="s">
        <v>213</v>
      </c>
      <c r="D19" s="13" t="s">
        <v>53</v>
      </c>
      <c r="E19" s="13" t="s">
        <v>223</v>
      </c>
      <c r="F19" s="13" t="n">
        <f aca="false">MATCH(A19,Indicators!$A$2:$A$31,0)</f>
        <v>21</v>
      </c>
      <c r="G19" s="13" t="n">
        <f aca="false">IF(INDEX(Indicators!$C$2:$C$31,$F19)="","",INDEX(Indicators!$C$2:$C$31,$F19))</f>
        <v>1.79</v>
      </c>
      <c r="H19" s="13" t="n">
        <f aca="false">IF(INDEX(Indicators!$D$2:$D$31,$F19)="","",INDEX(Indicators!$D$2:$D$31,$F19))</f>
        <v>3.67</v>
      </c>
      <c r="I19" s="13" t="n">
        <f aca="false">IF(INDEX(Indicators!$E$2:$E$31,$F19)="","",INDEX(Indicators!$E$2:$E$31,$F19))</f>
        <v>85.6</v>
      </c>
      <c r="J19" s="13" t="n">
        <f aca="false">IF(INDEX(Indicators!$F$2:$F$31,$F19)="","",INDEX(Indicators!$F$2:$F$31,$F19))</f>
        <v>0.8</v>
      </c>
      <c r="K19" s="13" t="n">
        <f aca="false">IF(INDEX(Indicators!$G$2:$G$31,$F19)="","",INDEX(Indicators!$G$2:$G$31,$F19))</f>
        <v>39</v>
      </c>
      <c r="L19" s="13" t="n">
        <f aca="false">IF(INDEX(Indicators!$H$2:$H$31,$F19)="","",INDEX(Indicators!$H$2:$H$31,$F19))</f>
        <v>67</v>
      </c>
      <c r="M19" s="13" t="n">
        <f aca="false">IF(INDEX(Indicators!$I$2:$I$31,$F19)="","",INDEX(Indicators!$I$2:$I$31,$F19))</f>
        <v>59</v>
      </c>
      <c r="N19" s="13" t="n">
        <f aca="false">IF(INDEX(Indicators!$J$2:$J$31,$F19)="","",INDEX(Indicators!$J$2:$J$31,$F19))</f>
        <v>54</v>
      </c>
      <c r="O19" s="14" t="n">
        <v>0</v>
      </c>
      <c r="P19" s="14" t="n">
        <v>1</v>
      </c>
      <c r="Q19" s="14" t="n">
        <v>1</v>
      </c>
      <c r="R19" s="14" t="n">
        <v>100</v>
      </c>
      <c r="S19" s="14" t="n">
        <v>6</v>
      </c>
      <c r="T19" s="14" t="n">
        <v>1</v>
      </c>
      <c r="U19" s="14" t="n">
        <v>50</v>
      </c>
      <c r="V19" s="14" t="n">
        <v>1</v>
      </c>
      <c r="W19" s="13" t="n">
        <f aca="false">IF(E19="Z01",1,0)</f>
        <v>0</v>
      </c>
      <c r="X19" s="14" t="n">
        <v>0</v>
      </c>
      <c r="Y19" s="13" t="n">
        <f aca="false">O19*Scales!$B$21+P19*Scales!$B$22+Q19*Scales!$B$23</f>
        <v>936</v>
      </c>
      <c r="Z19" s="15" t="n">
        <f aca="false">Y19/Scales!$B$24*100</f>
        <v>60</v>
      </c>
      <c r="AA19" s="15" t="n">
        <f aca="false">IF(G19="","",(Scales!$C$4-G19)/(Scales!$C$4-Scales!$B$4)*100)</f>
        <v>38.7434554973822</v>
      </c>
      <c r="AB19" s="15" t="n">
        <f aca="false">IF(H19="","",(H19-Scales!$B$5)/(Scales!$C$5-Scales!$B$5)*100)</f>
        <v>43.0645161290323</v>
      </c>
      <c r="AC19" s="15" t="n">
        <f aca="false">(Scales!$C$6-I19)/(Scales!$C$6-Scales!$B$6)*100</f>
        <v>39.8692810457517</v>
      </c>
      <c r="AD19" s="15" t="n">
        <f aca="false">(Scales!$C$7-J19)/(Scales!$C$7-Scales!$B$7)*100</f>
        <v>9.80392156862745</v>
      </c>
      <c r="AE19" s="13" t="n">
        <f aca="false">8-COUNT(G19:N19)</f>
        <v>0</v>
      </c>
      <c r="AF19" s="13" t="n">
        <f aca="false">IF(D19="Inferred",100,IF(V19&gt;=2,0,50))</f>
        <v>50</v>
      </c>
      <c r="AG19" s="13" t="n">
        <f aca="false">IF(K19="",100,K19)</f>
        <v>39</v>
      </c>
      <c r="AH19" s="15" t="n">
        <f aca="false">IF(AA19="",AVERAGE(AC19,AD19),AVERAGE(AA19,AB19,AC19,AD19))</f>
        <v>32.8702935601984</v>
      </c>
      <c r="AI19" s="15" t="n">
        <f aca="false">AVERAGE(L19,M19,N19)</f>
        <v>60</v>
      </c>
      <c r="AJ19" s="15" t="n">
        <f aca="false">AVERAGE((T19-1)/(Scales!$B$36-1)*100,R19,U19)</f>
        <v>50</v>
      </c>
      <c r="AK19" s="15" t="n">
        <f aca="false">AVERAGE(Z19,S19/Scales!$B$34*100)</f>
        <v>48.75</v>
      </c>
      <c r="AL19" s="15" t="n">
        <f aca="false">MAX(W19*Scales!$B$16,X19*Scales!$B$17)</f>
        <v>0</v>
      </c>
      <c r="AM19" s="15" t="n">
        <f aca="false">AVERAGE(AG19,AE19/8*100)</f>
        <v>19.5</v>
      </c>
      <c r="AN19" s="15" t="n">
        <f aca="false">SUMPRODUCT(AH19:AM19,Scales!$B$11:$G$11)/Scales!$H$11</f>
        <v>39.8365587120397</v>
      </c>
      <c r="AO19" s="15" t="n">
        <f aca="false">SUMPRODUCT(AH19:AM19,Scales!$B$12:$G$12)/Scales!$H$12</f>
        <v>35.1867155933664</v>
      </c>
      <c r="AP19" s="15" t="n">
        <f aca="false">SUMPRODUCT(AH19:AM19,Scales!$B$13:$G$13)/Scales!$H$13</f>
        <v>37.1610880680595</v>
      </c>
      <c r="AQ19" s="13" t="str">
        <f aca="false">IF(AN19&gt;=Scales!$B$38,"High",IF(AN19&gt;=Scales!$B$37,"Medium","Low"))</f>
        <v>Low</v>
      </c>
      <c r="AR19" s="13" t="str">
        <f aca="false">IF(D19&lt;&gt;"Confirmed","Low",IF(V19&gt;=2,"High","Medium"))</f>
        <v>Medium</v>
      </c>
      <c r="AS19" s="13" t="str">
        <f aca="false">IF(AE19=0,"High","Low")</f>
        <v>High</v>
      </c>
      <c r="AT19" s="13" t="str">
        <f aca="false">IF(OR(AR19="Low",AS19="Low"),"Low",IF(OR(AR19="Medium",AS19="Medium"),"Medium","High"))</f>
        <v>Medium</v>
      </c>
      <c r="AU19" s="13" t="str">
        <f aca="false">IF(D19="Inferred","Verify the link first (needs direct disclosure)",IF(AQ19="High",IF(AT19="Low","Verify data first","Search alternates now"),IF(AQ19="Medium","Prepare shortlist and monitor","Monitor")))</f>
        <v>Monitor</v>
      </c>
      <c r="AV19" s="13" t="n">
        <f aca="false">RANK(AN19,$AN$2:$AN$25)</f>
        <v>18</v>
      </c>
      <c r="AW19" s="13" t="n">
        <f aca="false">RANK(AO19,$AO$2:$AO$25)</f>
        <v>19</v>
      </c>
      <c r="AX19" s="13" t="n">
        <f aca="false">RANK(AP19,$AP$2:$AP$25)</f>
        <v>14</v>
      </c>
    </row>
    <row r="20" customFormat="false" ht="15" hidden="false" customHeight="false" outlineLevel="0" collapsed="false">
      <c r="A20" s="13" t="s">
        <v>244</v>
      </c>
      <c r="B20" s="13" t="s">
        <v>245</v>
      </c>
      <c r="C20" s="13" t="s">
        <v>231</v>
      </c>
      <c r="D20" s="13" t="s">
        <v>53</v>
      </c>
      <c r="E20" s="13" t="s">
        <v>221</v>
      </c>
      <c r="F20" s="13" t="n">
        <f aca="false">MATCH(A20,Indicators!$A$2:$A$31,0)</f>
        <v>5</v>
      </c>
      <c r="G20" s="13" t="n">
        <f aca="false">IF(INDEX(Indicators!$C$2:$C$31,$F20)="","",INDEX(Indicators!$C$2:$C$31,$F20))</f>
        <v>1.82</v>
      </c>
      <c r="H20" s="13" t="n">
        <f aca="false">IF(INDEX(Indicators!$D$2:$D$31,$F20)="","",INDEX(Indicators!$D$2:$D$31,$F20))</f>
        <v>1.67</v>
      </c>
      <c r="I20" s="13" t="n">
        <f aca="false">IF(INDEX(Indicators!$E$2:$E$31,$F20)="","",INDEX(Indicators!$E$2:$E$31,$F20))</f>
        <v>86.9</v>
      </c>
      <c r="J20" s="13" t="n">
        <f aca="false">IF(INDEX(Indicators!$F$2:$F$31,$F20)="","",INDEX(Indicators!$F$2:$F$31,$F20))</f>
        <v>2.2</v>
      </c>
      <c r="K20" s="13" t="n">
        <f aca="false">IF(INDEX(Indicators!$G$2:$G$31,$F20)="","",INDEX(Indicators!$G$2:$G$31,$F20))</f>
        <v>51</v>
      </c>
      <c r="L20" s="13" t="n">
        <f aca="false">IF(INDEX(Indicators!$H$2:$H$31,$F20)="","",INDEX(Indicators!$H$2:$H$31,$F20))</f>
        <v>19</v>
      </c>
      <c r="M20" s="13" t="n">
        <f aca="false">IF(INDEX(Indicators!$I$2:$I$31,$F20)="","",INDEX(Indicators!$I$2:$I$31,$F20))</f>
        <v>26</v>
      </c>
      <c r="N20" s="13" t="n">
        <f aca="false">IF(INDEX(Indicators!$J$2:$J$31,$F20)="","",INDEX(Indicators!$J$2:$J$31,$F20))</f>
        <v>25</v>
      </c>
      <c r="O20" s="14" t="n">
        <v>1</v>
      </c>
      <c r="P20" s="14" t="n">
        <v>1</v>
      </c>
      <c r="Q20" s="14" t="n">
        <v>0</v>
      </c>
      <c r="R20" s="14" t="n">
        <v>100</v>
      </c>
      <c r="S20" s="14" t="n">
        <v>8</v>
      </c>
      <c r="T20" s="14" t="n">
        <v>1</v>
      </c>
      <c r="U20" s="14" t="n">
        <v>100</v>
      </c>
      <c r="V20" s="14" t="n">
        <v>3</v>
      </c>
      <c r="W20" s="13" t="n">
        <f aca="false">IF(E20="Z01",1,0)</f>
        <v>0</v>
      </c>
      <c r="X20" s="14" t="n">
        <v>0</v>
      </c>
      <c r="Y20" s="13" t="n">
        <f aca="false">O20*Scales!$B$21+P20*Scales!$B$22+Q20*Scales!$B$23</f>
        <v>1144</v>
      </c>
      <c r="Z20" s="15" t="n">
        <f aca="false">Y20/Scales!$B$24*100</f>
        <v>73.3333333333333</v>
      </c>
      <c r="AA20" s="15" t="n">
        <f aca="false">IF(G20="","",(Scales!$C$4-G20)/(Scales!$C$4-Scales!$B$4)*100)</f>
        <v>37.1727748691099</v>
      </c>
      <c r="AB20" s="15" t="n">
        <f aca="false">IF(H20="","",(H20-Scales!$B$5)/(Scales!$C$5-Scales!$B$5)*100)</f>
        <v>10.8064516129032</v>
      </c>
      <c r="AC20" s="15" t="n">
        <f aca="false">(Scales!$C$6-I20)/(Scales!$C$6-Scales!$B$6)*100</f>
        <v>31.3725490196078</v>
      </c>
      <c r="AD20" s="15" t="n">
        <f aca="false">(Scales!$C$7-J20)/(Scales!$C$7-Scales!$B$7)*100</f>
        <v>2.94117647058823</v>
      </c>
      <c r="AE20" s="13" t="n">
        <f aca="false">8-COUNT(G20:N20)</f>
        <v>0</v>
      </c>
      <c r="AF20" s="13" t="n">
        <f aca="false">IF(D20="Inferred",100,IF(V20&gt;=2,0,50))</f>
        <v>0</v>
      </c>
      <c r="AG20" s="13" t="n">
        <f aca="false">IF(K20="",100,K20)</f>
        <v>51</v>
      </c>
      <c r="AH20" s="15" t="n">
        <f aca="false">IF(AA20="",AVERAGE(AC20,AD20),AVERAGE(AA20,AB20,AC20,AD20))</f>
        <v>20.5732379930523</v>
      </c>
      <c r="AI20" s="15" t="n">
        <f aca="false">AVERAGE(L20,M20,N20)</f>
        <v>23.3333333333333</v>
      </c>
      <c r="AJ20" s="15" t="n">
        <f aca="false">AVERAGE((T20-1)/(Scales!$B$36-1)*100,R20,U20)</f>
        <v>66.6666666666667</v>
      </c>
      <c r="AK20" s="15" t="n">
        <f aca="false">AVERAGE(Z20,S20/Scales!$B$34*100)</f>
        <v>61.6666666666667</v>
      </c>
      <c r="AL20" s="15" t="n">
        <f aca="false">MAX(W20*Scales!$B$16,X20*Scales!$B$17)</f>
        <v>0</v>
      </c>
      <c r="AM20" s="15" t="n">
        <f aca="false">AVERAGE(AG20,AE20/8*100)</f>
        <v>25.5</v>
      </c>
      <c r="AN20" s="15" t="n">
        <f aca="false">SUMPRODUCT(AH20:AM20,Scales!$B$11:$G$11)/Scales!$H$11</f>
        <v>39.4146475986105</v>
      </c>
      <c r="AO20" s="15" t="n">
        <f aca="false">SUMPRODUCT(AH20:AM20,Scales!$B$12:$G$12)/Scales!$H$12</f>
        <v>32.9566507766198</v>
      </c>
      <c r="AP20" s="15" t="n">
        <f aca="false">SUMPRODUCT(AH20:AM20,Scales!$B$13:$G$13)/Scales!$H$13</f>
        <v>30.830304731249</v>
      </c>
      <c r="AQ20" s="13" t="str">
        <f aca="false">IF(AN20&gt;=Scales!$B$38,"High",IF(AN20&gt;=Scales!$B$37,"Medium","Low"))</f>
        <v>Low</v>
      </c>
      <c r="AR20" s="13" t="str">
        <f aca="false">IF(D20&lt;&gt;"Confirmed","Low",IF(V20&gt;=2,"High","Medium"))</f>
        <v>High</v>
      </c>
      <c r="AS20" s="13" t="str">
        <f aca="false">IF(AE20=0,"High","Low")</f>
        <v>High</v>
      </c>
      <c r="AT20" s="13" t="str">
        <f aca="false">IF(OR(AR20="Low",AS20="Low"),"Low",IF(OR(AR20="Medium",AS20="Medium"),"Medium","High"))</f>
        <v>High</v>
      </c>
      <c r="AU20" s="13" t="str">
        <f aca="false">IF(D20="Inferred","Verify the link first (needs direct disclosure)",IF(AQ20="High",IF(AT20="Low","Verify data first","Search alternates now"),IF(AQ20="Medium","Prepare shortlist and monitor","Monitor")))</f>
        <v>Monitor</v>
      </c>
      <c r="AV20" s="13" t="n">
        <f aca="false">RANK(AN20,$AN$2:$AN$25)</f>
        <v>19</v>
      </c>
      <c r="AW20" s="13" t="n">
        <f aca="false">RANK(AO20,$AO$2:$AO$25)</f>
        <v>20</v>
      </c>
      <c r="AX20" s="13" t="n">
        <f aca="false">RANK(AP20,$AP$2:$AP$25)</f>
        <v>22</v>
      </c>
    </row>
    <row r="21" customFormat="false" ht="15" hidden="false" customHeight="false" outlineLevel="0" collapsed="false">
      <c r="A21" s="13" t="s">
        <v>246</v>
      </c>
      <c r="B21" s="13" t="s">
        <v>247</v>
      </c>
      <c r="C21" s="13" t="s">
        <v>231</v>
      </c>
      <c r="D21" s="13" t="s">
        <v>53</v>
      </c>
      <c r="E21" s="13" t="s">
        <v>238</v>
      </c>
      <c r="F21" s="13" t="n">
        <f aca="false">MATCH(A21,Indicators!$A$2:$A$31,0)</f>
        <v>8</v>
      </c>
      <c r="G21" s="13" t="n">
        <f aca="false">IF(INDEX(Indicators!$C$2:$C$31,$F21)="","",INDEX(Indicators!$C$2:$C$31,$F21))</f>
        <v>1.94</v>
      </c>
      <c r="H21" s="13" t="n">
        <f aca="false">IF(INDEX(Indicators!$D$2:$D$31,$F21)="","",INDEX(Indicators!$D$2:$D$31,$F21))</f>
        <v>3.67</v>
      </c>
      <c r="I21" s="13" t="n">
        <f aca="false">IF(INDEX(Indicators!$E$2:$E$31,$F21)="","",INDEX(Indicators!$E$2:$E$31,$F21))</f>
        <v>89.8</v>
      </c>
      <c r="J21" s="13" t="n">
        <f aca="false">IF(INDEX(Indicators!$F$2:$F$31,$F21)="","",INDEX(Indicators!$F$2:$F$31,$F21))</f>
        <v>-0.3</v>
      </c>
      <c r="K21" s="13" t="n">
        <f aca="false">IF(INDEX(Indicators!$G$2:$G$31,$F21)="","",INDEX(Indicators!$G$2:$G$31,$F21))</f>
        <v>69</v>
      </c>
      <c r="L21" s="13" t="n">
        <f aca="false">IF(INDEX(Indicators!$H$2:$H$31,$F21)="","",INDEX(Indicators!$H$2:$H$31,$F21))</f>
        <v>27</v>
      </c>
      <c r="M21" s="13" t="n">
        <f aca="false">IF(INDEX(Indicators!$I$2:$I$31,$F21)="","",INDEX(Indicators!$I$2:$I$31,$F21))</f>
        <v>30</v>
      </c>
      <c r="N21" s="13" t="n">
        <f aca="false">IF(INDEX(Indicators!$J$2:$J$31,$F21)="","",INDEX(Indicators!$J$2:$J$31,$F21))</f>
        <v>24</v>
      </c>
      <c r="O21" s="14" t="n">
        <v>1</v>
      </c>
      <c r="P21" s="14" t="n">
        <v>0</v>
      </c>
      <c r="Q21" s="14" t="n">
        <v>0</v>
      </c>
      <c r="R21" s="14" t="n">
        <v>100</v>
      </c>
      <c r="S21" s="14" t="n">
        <v>4</v>
      </c>
      <c r="T21" s="14" t="n">
        <v>1</v>
      </c>
      <c r="U21" s="14" t="n">
        <v>100</v>
      </c>
      <c r="V21" s="14" t="n">
        <v>2</v>
      </c>
      <c r="W21" s="13" t="n">
        <f aca="false">IF(E21="Z01",1,0)</f>
        <v>0</v>
      </c>
      <c r="X21" s="14" t="n">
        <v>0</v>
      </c>
      <c r="Y21" s="13" t="n">
        <f aca="false">O21*Scales!$B$21+P21*Scales!$B$22+Q21*Scales!$B$23</f>
        <v>624</v>
      </c>
      <c r="Z21" s="15" t="n">
        <f aca="false">Y21/Scales!$B$24*100</f>
        <v>40</v>
      </c>
      <c r="AA21" s="15" t="n">
        <f aca="false">IF(G21="","",(Scales!$C$4-G21)/(Scales!$C$4-Scales!$B$4)*100)</f>
        <v>30.8900523560209</v>
      </c>
      <c r="AB21" s="15" t="n">
        <f aca="false">IF(H21="","",(H21-Scales!$B$5)/(Scales!$C$5-Scales!$B$5)*100)</f>
        <v>43.0645161290323</v>
      </c>
      <c r="AC21" s="15" t="n">
        <f aca="false">(Scales!$C$6-I21)/(Scales!$C$6-Scales!$B$6)*100</f>
        <v>12.4183006535948</v>
      </c>
      <c r="AD21" s="15" t="n">
        <f aca="false">(Scales!$C$7-J21)/(Scales!$C$7-Scales!$B$7)*100</f>
        <v>15.1960784313725</v>
      </c>
      <c r="AE21" s="13" t="n">
        <f aca="false">8-COUNT(G21:N21)</f>
        <v>0</v>
      </c>
      <c r="AF21" s="13" t="n">
        <f aca="false">IF(D21="Inferred",100,IF(V21&gt;=2,0,50))</f>
        <v>0</v>
      </c>
      <c r="AG21" s="13" t="n">
        <f aca="false">IF(K21="",100,K21)</f>
        <v>69</v>
      </c>
      <c r="AH21" s="15" t="n">
        <f aca="false">IF(AA21="",AVERAGE(AC21,AD21),AVERAGE(AA21,AB21,AC21,AD21))</f>
        <v>25.3922368925051</v>
      </c>
      <c r="AI21" s="15" t="n">
        <f aca="false">AVERAGE(L21,M21,N21)</f>
        <v>27</v>
      </c>
      <c r="AJ21" s="15" t="n">
        <f aca="false">AVERAGE((T21-1)/(Scales!$B$36-1)*100,R21,U21)</f>
        <v>66.6666666666667</v>
      </c>
      <c r="AK21" s="15" t="n">
        <f aca="false">AVERAGE(Z21,S21/Scales!$B$34*100)</f>
        <v>32.5</v>
      </c>
      <c r="AL21" s="15" t="n">
        <f aca="false">MAX(W21*Scales!$B$16,X21*Scales!$B$17)</f>
        <v>0</v>
      </c>
      <c r="AM21" s="15" t="n">
        <f aca="false">AVERAGE(AG21,AE21/8*100)</f>
        <v>34.5</v>
      </c>
      <c r="AN21" s="15" t="n">
        <f aca="false">SUMPRODUCT(AH21:AM21,Scales!$B$11:$G$11)/Scales!$H$11</f>
        <v>37.453447378501</v>
      </c>
      <c r="AO21" s="15" t="n">
        <f aca="false">SUMPRODUCT(AH21:AM21,Scales!$B$12:$G$12)/Scales!$H$12</f>
        <v>31.009817259862</v>
      </c>
      <c r="AP21" s="15" t="n">
        <f aca="false">SUMPRODUCT(AH21:AM21,Scales!$B$13:$G$13)/Scales!$H$13</f>
        <v>31.4426710677515</v>
      </c>
      <c r="AQ21" s="13" t="str">
        <f aca="false">IF(AN21&gt;=Scales!$B$38,"High",IF(AN21&gt;=Scales!$B$37,"Medium","Low"))</f>
        <v>Low</v>
      </c>
      <c r="AR21" s="13" t="str">
        <f aca="false">IF(D21&lt;&gt;"Confirmed","Low",IF(V21&gt;=2,"High","Medium"))</f>
        <v>High</v>
      </c>
      <c r="AS21" s="13" t="str">
        <f aca="false">IF(AE21=0,"High","Low")</f>
        <v>High</v>
      </c>
      <c r="AT21" s="13" t="str">
        <f aca="false">IF(OR(AR21="Low",AS21="Low"),"Low",IF(OR(AR21="Medium",AS21="Medium"),"Medium","High"))</f>
        <v>High</v>
      </c>
      <c r="AU21" s="13" t="str">
        <f aca="false">IF(D21="Inferred","Verify the link first (needs direct disclosure)",IF(AQ21="High",IF(AT21="Low","Verify data first","Search alternates now"),IF(AQ21="Medium","Prepare shortlist and monitor","Monitor")))</f>
        <v>Monitor</v>
      </c>
      <c r="AV21" s="13" t="n">
        <f aca="false">RANK(AN21,$AN$2:$AN$25)</f>
        <v>20</v>
      </c>
      <c r="AW21" s="13" t="n">
        <f aca="false">RANK(AO21,$AO$2:$AO$25)</f>
        <v>21</v>
      </c>
      <c r="AX21" s="13" t="n">
        <f aca="false">RANK(AP21,$AP$2:$AP$25)</f>
        <v>21</v>
      </c>
    </row>
    <row r="22" customFormat="false" ht="15" hidden="false" customHeight="false" outlineLevel="0" collapsed="false">
      <c r="A22" s="13" t="s">
        <v>248</v>
      </c>
      <c r="B22" s="13" t="s">
        <v>65</v>
      </c>
      <c r="C22" s="13" t="s">
        <v>216</v>
      </c>
      <c r="D22" s="13" t="s">
        <v>53</v>
      </c>
      <c r="E22" s="13" t="s">
        <v>221</v>
      </c>
      <c r="F22" s="13" t="n">
        <f aca="false">MATCH(A22,Indicators!$A$2:$A$31,0)</f>
        <v>30</v>
      </c>
      <c r="G22" s="13" t="str">
        <f aca="false">IF(INDEX(Indicators!$C$2:$C$31,$F22)="","",INDEX(Indicators!$C$2:$C$31,$F22))</f>
        <v/>
      </c>
      <c r="H22" s="13" t="str">
        <f aca="false">IF(INDEX(Indicators!$D$2:$D$31,$F22)="","",INDEX(Indicators!$D$2:$D$31,$F22))</f>
        <v/>
      </c>
      <c r="I22" s="13" t="n">
        <f aca="false">IF(INDEX(Indicators!$E$2:$E$31,$F22)="","",INDEX(Indicators!$E$2:$E$31,$F22))</f>
        <v>90.9</v>
      </c>
      <c r="J22" s="13" t="n">
        <f aca="false">IF(INDEX(Indicators!$F$2:$F$31,$F22)="","",INDEX(Indicators!$F$2:$F$31,$F22))</f>
        <v>-0.9</v>
      </c>
      <c r="K22" s="13" t="str">
        <f aca="false">IF(INDEX(Indicators!$G$2:$G$31,$F22)="","",INDEX(Indicators!$G$2:$G$31,$F22))</f>
        <v/>
      </c>
      <c r="L22" s="13" t="n">
        <f aca="false">IF(INDEX(Indicators!$H$2:$H$31,$F22)="","",INDEX(Indicators!$H$2:$H$31,$F22))</f>
        <v>19</v>
      </c>
      <c r="M22" s="13" t="n">
        <f aca="false">IF(INDEX(Indicators!$I$2:$I$31,$F22)="","",INDEX(Indicators!$I$2:$I$31,$F22))</f>
        <v>26</v>
      </c>
      <c r="N22" s="13" t="n">
        <f aca="false">IF(INDEX(Indicators!$J$2:$J$31,$F22)="","",INDEX(Indicators!$J$2:$J$31,$F22))</f>
        <v>25</v>
      </c>
      <c r="O22" s="14" t="n">
        <v>1</v>
      </c>
      <c r="P22" s="14" t="n">
        <v>1</v>
      </c>
      <c r="Q22" s="14" t="n">
        <v>0</v>
      </c>
      <c r="R22" s="14" t="n">
        <v>100</v>
      </c>
      <c r="S22" s="14" t="n">
        <v>8</v>
      </c>
      <c r="T22" s="14" t="n">
        <v>1</v>
      </c>
      <c r="U22" s="14" t="n">
        <v>50</v>
      </c>
      <c r="V22" s="14" t="n">
        <v>1</v>
      </c>
      <c r="W22" s="13" t="n">
        <f aca="false">IF(E22="Z01",1,0)</f>
        <v>0</v>
      </c>
      <c r="X22" s="14" t="n">
        <v>0</v>
      </c>
      <c r="Y22" s="13" t="n">
        <f aca="false">O22*Scales!$B$21+P22*Scales!$B$22+Q22*Scales!$B$23</f>
        <v>1144</v>
      </c>
      <c r="Z22" s="15" t="n">
        <f aca="false">Y22/Scales!$B$24*100</f>
        <v>73.3333333333333</v>
      </c>
      <c r="AA22" s="15" t="str">
        <f aca="false">IF(G22="","",(Scales!$C$4-G22)/(Scales!$C$4-Scales!$B$4)*100)</f>
        <v/>
      </c>
      <c r="AB22" s="15" t="str">
        <f aca="false">IF(H22="","",(H22-Scales!$B$5)/(Scales!$C$5-Scales!$B$5)*100)</f>
        <v/>
      </c>
      <c r="AC22" s="15" t="n">
        <f aca="false">(Scales!$C$6-I22)/(Scales!$C$6-Scales!$B$6)*100</f>
        <v>5.22875816993462</v>
      </c>
      <c r="AD22" s="15" t="n">
        <f aca="false">(Scales!$C$7-J22)/(Scales!$C$7-Scales!$B$7)*100</f>
        <v>18.1372549019608</v>
      </c>
      <c r="AE22" s="13" t="n">
        <f aca="false">8-COUNT(G22:N22)</f>
        <v>3</v>
      </c>
      <c r="AF22" s="13" t="n">
        <f aca="false">IF(D22="Inferred",100,IF(V22&gt;=2,0,50))</f>
        <v>50</v>
      </c>
      <c r="AG22" s="13" t="n">
        <f aca="false">IF(K22="",100,K22)</f>
        <v>100</v>
      </c>
      <c r="AH22" s="15" t="n">
        <f aca="false">IF(AA22="",AVERAGE(AC22,AD22),AVERAGE(AA22,AB22,AC22,AD22))</f>
        <v>11.6830065359477</v>
      </c>
      <c r="AI22" s="15" t="n">
        <f aca="false">AVERAGE(L22,M22,N22)</f>
        <v>23.3333333333333</v>
      </c>
      <c r="AJ22" s="15" t="n">
        <f aca="false">AVERAGE((T22-1)/(Scales!$B$36-1)*100,R22,U22)</f>
        <v>50</v>
      </c>
      <c r="AK22" s="15" t="n">
        <f aca="false">AVERAGE(Z22,S22/Scales!$B$34*100)</f>
        <v>61.6666666666667</v>
      </c>
      <c r="AL22" s="15" t="n">
        <f aca="false">MAX(W22*Scales!$B$16,X22*Scales!$B$17)</f>
        <v>0</v>
      </c>
      <c r="AM22" s="15" t="n">
        <f aca="false">AVERAGE(AG22,AE22/8*100)</f>
        <v>68.75</v>
      </c>
      <c r="AN22" s="15" t="n">
        <f aca="false">SUMPRODUCT(AH22:AM22,Scales!$B$11:$G$11)/Scales!$H$11</f>
        <v>36.9616013071895</v>
      </c>
      <c r="AO22" s="15" t="n">
        <f aca="false">SUMPRODUCT(AH22:AM22,Scales!$B$12:$G$12)/Scales!$H$12</f>
        <v>35.9055010893246</v>
      </c>
      <c r="AP22" s="15" t="n">
        <f aca="false">SUMPRODUCT(AH22:AM22,Scales!$B$13:$G$13)/Scales!$H$13</f>
        <v>32.1507352941176</v>
      </c>
      <c r="AQ22" s="13" t="str">
        <f aca="false">IF(AN22&gt;=Scales!$B$38,"High",IF(AN22&gt;=Scales!$B$37,"Medium","Low"))</f>
        <v>Low</v>
      </c>
      <c r="AR22" s="13" t="str">
        <f aca="false">IF(D22&lt;&gt;"Confirmed","Low",IF(V22&gt;=2,"High","Medium"))</f>
        <v>Medium</v>
      </c>
      <c r="AS22" s="13" t="str">
        <f aca="false">IF(AE22=0,"High","Low")</f>
        <v>Low</v>
      </c>
      <c r="AT22" s="13" t="str">
        <f aca="false">IF(OR(AR22="Low",AS22="Low"),"Low",IF(OR(AR22="Medium",AS22="Medium"),"Medium","High"))</f>
        <v>Low</v>
      </c>
      <c r="AU22" s="13" t="str">
        <f aca="false">IF(D22="Inferred","Verify the link first (needs direct disclosure)",IF(AQ22="High",IF(AT22="Low","Verify data first","Search alternates now"),IF(AQ22="Medium","Prepare shortlist and monitor","Monitor")))</f>
        <v>Monitor</v>
      </c>
      <c r="AV22" s="13" t="n">
        <f aca="false">RANK(AN22,$AN$2:$AN$25)</f>
        <v>21</v>
      </c>
      <c r="AW22" s="13" t="n">
        <f aca="false">RANK(AO22,$AO$2:$AO$25)</f>
        <v>18</v>
      </c>
      <c r="AX22" s="13" t="n">
        <f aca="false">RANK(AP22,$AP$2:$AP$25)</f>
        <v>20</v>
      </c>
    </row>
    <row r="23" customFormat="false" ht="15" hidden="false" customHeight="false" outlineLevel="0" collapsed="false">
      <c r="A23" s="13" t="s">
        <v>249</v>
      </c>
      <c r="B23" s="13" t="s">
        <v>250</v>
      </c>
      <c r="C23" s="13" t="s">
        <v>231</v>
      </c>
      <c r="D23" s="13" t="s">
        <v>53</v>
      </c>
      <c r="E23" s="13" t="s">
        <v>225</v>
      </c>
      <c r="F23" s="13" t="n">
        <f aca="false">MATCH(A23,Indicators!$A$2:$A$31,0)</f>
        <v>9</v>
      </c>
      <c r="G23" s="13" t="n">
        <f aca="false">IF(INDEX(Indicators!$C$2:$C$31,$F23)="","",INDEX(Indicators!$C$2:$C$31,$F23))</f>
        <v>1.51</v>
      </c>
      <c r="H23" s="13" t="n">
        <f aca="false">IF(INDEX(Indicators!$D$2:$D$31,$F23)="","",INDEX(Indicators!$D$2:$D$31,$F23))</f>
        <v>1.33</v>
      </c>
      <c r="I23" s="13" t="n">
        <f aca="false">IF(INDEX(Indicators!$E$2:$E$31,$F23)="","",INDEX(Indicators!$E$2:$E$31,$F23))</f>
        <v>78.8</v>
      </c>
      <c r="J23" s="13" t="n">
        <f aca="false">IF(INDEX(Indicators!$F$2:$F$31,$F23)="","",INDEX(Indicators!$F$2:$F$31,$F23))</f>
        <v>-0.9</v>
      </c>
      <c r="K23" s="13" t="n">
        <f aca="false">IF(INDEX(Indicators!$G$2:$G$31,$F23)="","",INDEX(Indicators!$G$2:$G$31,$F23))</f>
        <v>18</v>
      </c>
      <c r="L23" s="13" t="n">
        <f aca="false">IF(INDEX(Indicators!$H$2:$H$31,$F23)="","",INDEX(Indicators!$H$2:$H$31,$F23))</f>
        <v>58</v>
      </c>
      <c r="M23" s="13" t="n">
        <f aca="false">IF(INDEX(Indicators!$I$2:$I$31,$F23)="","",INDEX(Indicators!$I$2:$I$31,$F23))</f>
        <v>62</v>
      </c>
      <c r="N23" s="13" t="n">
        <f aca="false">IF(INDEX(Indicators!$J$2:$J$31,$F23)="","",INDEX(Indicators!$J$2:$J$31,$F23))</f>
        <v>52</v>
      </c>
      <c r="O23" s="14" t="n">
        <v>0</v>
      </c>
      <c r="P23" s="14" t="n">
        <v>0</v>
      </c>
      <c r="Q23" s="14" t="n">
        <v>1</v>
      </c>
      <c r="R23" s="14" t="n">
        <v>80</v>
      </c>
      <c r="S23" s="14" t="n">
        <v>12</v>
      </c>
      <c r="T23" s="14" t="n">
        <v>1</v>
      </c>
      <c r="U23" s="14" t="n">
        <v>0</v>
      </c>
      <c r="V23" s="14" t="n">
        <v>2</v>
      </c>
      <c r="W23" s="13" t="n">
        <f aca="false">IF(E23="Z01",1,0)</f>
        <v>0</v>
      </c>
      <c r="X23" s="14" t="n">
        <v>0</v>
      </c>
      <c r="Y23" s="13" t="n">
        <f aca="false">O23*Scales!$B$21+P23*Scales!$B$22+Q23*Scales!$B$23</f>
        <v>416</v>
      </c>
      <c r="Z23" s="15" t="n">
        <f aca="false">Y23/Scales!$B$24*100</f>
        <v>26.6666666666667</v>
      </c>
      <c r="AA23" s="15" t="n">
        <f aca="false">IF(G23="","",(Scales!$C$4-G23)/(Scales!$C$4-Scales!$B$4)*100)</f>
        <v>53.4031413612565</v>
      </c>
      <c r="AB23" s="15" t="n">
        <f aca="false">IF(H23="","",(H23-Scales!$B$5)/(Scales!$C$5-Scales!$B$5)*100)</f>
        <v>5.32258064516129</v>
      </c>
      <c r="AC23" s="15" t="n">
        <f aca="false">(Scales!$C$6-I23)/(Scales!$C$6-Scales!$B$6)*100</f>
        <v>84.3137254901961</v>
      </c>
      <c r="AD23" s="15" t="n">
        <f aca="false">(Scales!$C$7-J23)/(Scales!$C$7-Scales!$B$7)*100</f>
        <v>18.1372549019608</v>
      </c>
      <c r="AE23" s="13" t="n">
        <f aca="false">8-COUNT(G23:N23)</f>
        <v>0</v>
      </c>
      <c r="AF23" s="13" t="n">
        <f aca="false">IF(D23="Inferred",100,IF(V23&gt;=2,0,50))</f>
        <v>0</v>
      </c>
      <c r="AG23" s="13" t="n">
        <f aca="false">IF(K23="",100,K23)</f>
        <v>18</v>
      </c>
      <c r="AH23" s="15" t="n">
        <f aca="false">IF(AA23="",AVERAGE(AC23,AD23),AVERAGE(AA23,AB23,AC23,AD23))</f>
        <v>40.2941755996437</v>
      </c>
      <c r="AI23" s="15" t="n">
        <f aca="false">AVERAGE(L23,M23,N23)</f>
        <v>57.3333333333333</v>
      </c>
      <c r="AJ23" s="15" t="n">
        <f aca="false">AVERAGE((T23-1)/(Scales!$B$36-1)*100,R23,U23)</f>
        <v>26.6666666666667</v>
      </c>
      <c r="AK23" s="15" t="n">
        <f aca="false">AVERAGE(Z23,S23/Scales!$B$34*100)</f>
        <v>50.8333333333333</v>
      </c>
      <c r="AL23" s="15" t="n">
        <f aca="false">MAX(W23*Scales!$B$16,X23*Scales!$B$17)</f>
        <v>0</v>
      </c>
      <c r="AM23" s="15" t="n">
        <f aca="false">AVERAGE(AG23,AE23/8*100)</f>
        <v>9</v>
      </c>
      <c r="AN23" s="15" t="n">
        <f aca="false">SUMPRODUCT(AH23:AM23,Scales!$B$11:$G$11)/Scales!$H$11</f>
        <v>33.1838351199287</v>
      </c>
      <c r="AO23" s="15" t="n">
        <f aca="false">SUMPRODUCT(AH23:AM23,Scales!$B$12:$G$12)/Scales!$H$12</f>
        <v>30.6879181554962</v>
      </c>
      <c r="AP23" s="15" t="n">
        <f aca="false">SUMPRODUCT(AH23:AM23,Scales!$B$13:$G$13)/Scales!$H$13</f>
        <v>33.9882526798931</v>
      </c>
      <c r="AQ23" s="13" t="str">
        <f aca="false">IF(AN23&gt;=Scales!$B$38,"High",IF(AN23&gt;=Scales!$B$37,"Medium","Low"))</f>
        <v>Low</v>
      </c>
      <c r="AR23" s="13" t="str">
        <f aca="false">IF(D23&lt;&gt;"Confirmed","Low",IF(V23&gt;=2,"High","Medium"))</f>
        <v>High</v>
      </c>
      <c r="AS23" s="13" t="str">
        <f aca="false">IF(AE23=0,"High","Low")</f>
        <v>High</v>
      </c>
      <c r="AT23" s="13" t="str">
        <f aca="false">IF(OR(AR23="Low",AS23="Low"),"Low",IF(OR(AR23="Medium",AS23="Medium"),"Medium","High"))</f>
        <v>High</v>
      </c>
      <c r="AU23" s="13" t="str">
        <f aca="false">IF(D23="Inferred","Verify the link first (needs direct disclosure)",IF(AQ23="High",IF(AT23="Low","Verify data first","Search alternates now"),IF(AQ23="Medium","Prepare shortlist and monitor","Monitor")))</f>
        <v>Monitor</v>
      </c>
      <c r="AV23" s="13" t="n">
        <f aca="false">RANK(AN23,$AN$2:$AN$25)</f>
        <v>22</v>
      </c>
      <c r="AW23" s="13" t="n">
        <f aca="false">RANK(AO23,$AO$2:$AO$25)</f>
        <v>22</v>
      </c>
      <c r="AX23" s="13" t="n">
        <f aca="false">RANK(AP23,$AP$2:$AP$25)</f>
        <v>18</v>
      </c>
    </row>
    <row r="24" customFormat="false" ht="15" hidden="false" customHeight="false" outlineLevel="0" collapsed="false">
      <c r="A24" s="13" t="s">
        <v>251</v>
      </c>
      <c r="B24" s="13" t="s">
        <v>71</v>
      </c>
      <c r="C24" s="13" t="s">
        <v>213</v>
      </c>
      <c r="D24" s="13" t="s">
        <v>53</v>
      </c>
      <c r="E24" s="13" t="s">
        <v>238</v>
      </c>
      <c r="F24" s="13" t="n">
        <f aca="false">MATCH(A24,Indicators!$A$2:$A$31,0)</f>
        <v>22</v>
      </c>
      <c r="G24" s="13" t="n">
        <f aca="false">IF(INDEX(Indicators!$C$2:$C$31,$F24)="","",INDEX(Indicators!$C$2:$C$31,$F24))</f>
        <v>2.43</v>
      </c>
      <c r="H24" s="13" t="n">
        <f aca="false">IF(INDEX(Indicators!$D$2:$D$31,$F24)="","",INDEX(Indicators!$D$2:$D$31,$F24))</f>
        <v>1.33</v>
      </c>
      <c r="I24" s="13" t="n">
        <f aca="false">IF(INDEX(Indicators!$E$2:$E$31,$F24)="","",INDEX(Indicators!$E$2:$E$31,$F24))</f>
        <v>84.6</v>
      </c>
      <c r="J24" s="13" t="n">
        <f aca="false">IF(INDEX(Indicators!$F$2:$F$31,$F24)="","",INDEX(Indicators!$F$2:$F$31,$F24))</f>
        <v>-2.1</v>
      </c>
      <c r="K24" s="13" t="n">
        <f aca="false">IF(INDEX(Indicators!$G$2:$G$31,$F24)="","",INDEX(Indicators!$G$2:$G$31,$F24))</f>
        <v>48</v>
      </c>
      <c r="L24" s="13" t="n">
        <f aca="false">IF(INDEX(Indicators!$H$2:$H$31,$F24)="","",INDEX(Indicators!$H$2:$H$31,$F24))</f>
        <v>27</v>
      </c>
      <c r="M24" s="13" t="n">
        <f aca="false">IF(INDEX(Indicators!$I$2:$I$31,$F24)="","",INDEX(Indicators!$I$2:$I$31,$F24))</f>
        <v>30</v>
      </c>
      <c r="N24" s="13" t="n">
        <f aca="false">IF(INDEX(Indicators!$J$2:$J$31,$F24)="","",INDEX(Indicators!$J$2:$J$31,$F24))</f>
        <v>24</v>
      </c>
      <c r="O24" s="14" t="n">
        <v>1</v>
      </c>
      <c r="P24" s="14" t="n">
        <v>0</v>
      </c>
      <c r="Q24" s="14" t="n">
        <v>0</v>
      </c>
      <c r="R24" s="14" t="n">
        <v>100</v>
      </c>
      <c r="S24" s="14" t="n">
        <v>4</v>
      </c>
      <c r="T24" s="14" t="n">
        <v>1</v>
      </c>
      <c r="U24" s="14" t="n">
        <v>50</v>
      </c>
      <c r="V24" s="14" t="n">
        <v>1</v>
      </c>
      <c r="W24" s="13" t="n">
        <f aca="false">IF(E24="Z01",1,0)</f>
        <v>0</v>
      </c>
      <c r="X24" s="14" t="n">
        <v>0</v>
      </c>
      <c r="Y24" s="13" t="n">
        <f aca="false">O24*Scales!$B$21+P24*Scales!$B$22+Q24*Scales!$B$23</f>
        <v>624</v>
      </c>
      <c r="Z24" s="15" t="n">
        <f aca="false">Y24/Scales!$B$24*100</f>
        <v>40</v>
      </c>
      <c r="AA24" s="15" t="n">
        <f aca="false">IF(G24="","",(Scales!$C$4-G24)/(Scales!$C$4-Scales!$B$4)*100)</f>
        <v>5.23560209424082</v>
      </c>
      <c r="AB24" s="15" t="n">
        <f aca="false">IF(H24="","",(H24-Scales!$B$5)/(Scales!$C$5-Scales!$B$5)*100)</f>
        <v>5.32258064516129</v>
      </c>
      <c r="AC24" s="15" t="n">
        <f aca="false">(Scales!$C$6-I24)/(Scales!$C$6-Scales!$B$6)*100</f>
        <v>46.40522875817</v>
      </c>
      <c r="AD24" s="15" t="n">
        <f aca="false">(Scales!$C$7-J24)/(Scales!$C$7-Scales!$B$7)*100</f>
        <v>24.0196078431373</v>
      </c>
      <c r="AE24" s="13" t="n">
        <f aca="false">8-COUNT(G24:N24)</f>
        <v>0</v>
      </c>
      <c r="AF24" s="13" t="n">
        <f aca="false">IF(D24="Inferred",100,IF(V24&gt;=2,0,50))</f>
        <v>50</v>
      </c>
      <c r="AG24" s="13" t="n">
        <f aca="false">IF(K24="",100,K24)</f>
        <v>48</v>
      </c>
      <c r="AH24" s="15" t="n">
        <f aca="false">IF(AA24="",AVERAGE(AC24,AD24),AVERAGE(AA24,AB24,AC24,AD24))</f>
        <v>20.2457548351773</v>
      </c>
      <c r="AI24" s="15" t="n">
        <f aca="false">AVERAGE(L24,M24,N24)</f>
        <v>27</v>
      </c>
      <c r="AJ24" s="15" t="n">
        <f aca="false">AVERAGE((T24-1)/(Scales!$B$36-1)*100,R24,U24)</f>
        <v>50</v>
      </c>
      <c r="AK24" s="15" t="n">
        <f aca="false">AVERAGE(Z24,S24/Scales!$B$34*100)</f>
        <v>32.5</v>
      </c>
      <c r="AL24" s="15" t="n">
        <f aca="false">MAX(W24*Scales!$B$16,X24*Scales!$B$17)</f>
        <v>0</v>
      </c>
      <c r="AM24" s="15" t="n">
        <f aca="false">AVERAGE(AG24,AE24/8*100)</f>
        <v>24</v>
      </c>
      <c r="AN24" s="15" t="n">
        <f aca="false">SUMPRODUCT(AH24:AM24,Scales!$B$11:$G$11)/Scales!$H$11</f>
        <v>30.3741509670355</v>
      </c>
      <c r="AO24" s="15" t="n">
        <f aca="false">SUMPRODUCT(AH24:AM24,Scales!$B$12:$G$12)/Scales!$H$12</f>
        <v>25.6242924725296</v>
      </c>
      <c r="AP24" s="15" t="n">
        <f aca="false">SUMPRODUCT(AH24:AM24,Scales!$B$13:$G$13)/Scales!$H$13</f>
        <v>25.8237264505532</v>
      </c>
      <c r="AQ24" s="13" t="str">
        <f aca="false">IF(AN24&gt;=Scales!$B$38,"High",IF(AN24&gt;=Scales!$B$37,"Medium","Low"))</f>
        <v>Low</v>
      </c>
      <c r="AR24" s="13" t="str">
        <f aca="false">IF(D24&lt;&gt;"Confirmed","Low",IF(V24&gt;=2,"High","Medium"))</f>
        <v>Medium</v>
      </c>
      <c r="AS24" s="13" t="str">
        <f aca="false">IF(AE24=0,"High","Low")</f>
        <v>High</v>
      </c>
      <c r="AT24" s="13" t="str">
        <f aca="false">IF(OR(AR24="Low",AS24="Low"),"Low",IF(OR(AR24="Medium",AS24="Medium"),"Medium","High"))</f>
        <v>Medium</v>
      </c>
      <c r="AU24" s="13" t="str">
        <f aca="false">IF(D24="Inferred","Verify the link first (needs direct disclosure)",IF(AQ24="High",IF(AT24="Low","Verify data first","Search alternates now"),IF(AQ24="Medium","Prepare shortlist and monitor","Monitor")))</f>
        <v>Monitor</v>
      </c>
      <c r="AV24" s="13" t="n">
        <f aca="false">RANK(AN24,$AN$2:$AN$25)</f>
        <v>23</v>
      </c>
      <c r="AW24" s="13" t="n">
        <f aca="false">RANK(AO24,$AO$2:$AO$25)</f>
        <v>23</v>
      </c>
      <c r="AX24" s="13" t="n">
        <f aca="false">RANK(AP24,$AP$2:$AP$25)</f>
        <v>23</v>
      </c>
    </row>
    <row r="25" customFormat="false" ht="15" hidden="false" customHeight="false" outlineLevel="0" collapsed="false">
      <c r="A25" s="13" t="s">
        <v>252</v>
      </c>
      <c r="B25" s="13" t="s">
        <v>253</v>
      </c>
      <c r="C25" s="13" t="s">
        <v>231</v>
      </c>
      <c r="D25" s="13" t="s">
        <v>53</v>
      </c>
      <c r="E25" s="13" t="s">
        <v>233</v>
      </c>
      <c r="F25" s="13" t="n">
        <f aca="false">MATCH(A25,Indicators!$A$2:$A$31,0)</f>
        <v>11</v>
      </c>
      <c r="G25" s="13" t="n">
        <f aca="false">IF(INDEX(Indicators!$C$2:$C$31,$F25)="","",INDEX(Indicators!$C$2:$C$31,$F25))</f>
        <v>2.24</v>
      </c>
      <c r="H25" s="13" t="n">
        <f aca="false">IF(INDEX(Indicators!$D$2:$D$31,$F25)="","",INDEX(Indicators!$D$2:$D$31,$F25))</f>
        <v>2.33</v>
      </c>
      <c r="I25" s="13" t="n">
        <f aca="false">IF(INDEX(Indicators!$E$2:$E$31,$F25)="","",INDEX(Indicators!$E$2:$E$31,$F25))</f>
        <v>81.9</v>
      </c>
      <c r="J25" s="13" t="n">
        <f aca="false">IF(INDEX(Indicators!$F$2:$F$31,$F25)="","",INDEX(Indicators!$F$2:$F$31,$F25))</f>
        <v>-0.9</v>
      </c>
      <c r="K25" s="13" t="n">
        <f aca="false">IF(INDEX(Indicators!$G$2:$G$31,$F25)="","",INDEX(Indicators!$G$2:$G$31,$F25))</f>
        <v>27</v>
      </c>
      <c r="L25" s="13" t="n">
        <f aca="false">IF(INDEX(Indicators!$H$2:$H$31,$F25)="","",INDEX(Indicators!$H$2:$H$31,$F25))</f>
        <v>31</v>
      </c>
      <c r="M25" s="13" t="n">
        <f aca="false">IF(INDEX(Indicators!$I$2:$I$31,$F25)="","",INDEX(Indicators!$I$2:$I$31,$F25))</f>
        <v>23</v>
      </c>
      <c r="N25" s="13" t="n">
        <f aca="false">IF(INDEX(Indicators!$J$2:$J$31,$F25)="","",INDEX(Indicators!$J$2:$J$31,$F25))</f>
        <v>19</v>
      </c>
      <c r="O25" s="14" t="n">
        <v>0</v>
      </c>
      <c r="P25" s="14" t="n">
        <v>0</v>
      </c>
      <c r="Q25" s="14" t="n">
        <v>1</v>
      </c>
      <c r="R25" s="14" t="n">
        <v>20</v>
      </c>
      <c r="S25" s="14" t="n">
        <v>12</v>
      </c>
      <c r="T25" s="14" t="n">
        <v>1</v>
      </c>
      <c r="U25" s="14" t="n">
        <v>0</v>
      </c>
      <c r="V25" s="14" t="n">
        <v>2</v>
      </c>
      <c r="W25" s="13" t="n">
        <f aca="false">IF(E25="Z01",1,0)</f>
        <v>0</v>
      </c>
      <c r="X25" s="14" t="n">
        <v>0</v>
      </c>
      <c r="Y25" s="13" t="n">
        <f aca="false">O25*Scales!$B$21+P25*Scales!$B$22+Q25*Scales!$B$23</f>
        <v>416</v>
      </c>
      <c r="Z25" s="15" t="n">
        <f aca="false">Y25/Scales!$B$24*100</f>
        <v>26.6666666666667</v>
      </c>
      <c r="AA25" s="15" t="n">
        <f aca="false">IF(G25="","",(Scales!$C$4-G25)/(Scales!$C$4-Scales!$B$4)*100)</f>
        <v>15.1832460732984</v>
      </c>
      <c r="AB25" s="15" t="n">
        <f aca="false">IF(H25="","",(H25-Scales!$B$5)/(Scales!$C$5-Scales!$B$5)*100)</f>
        <v>21.4516129032258</v>
      </c>
      <c r="AC25" s="15" t="n">
        <f aca="false">(Scales!$C$6-I25)/(Scales!$C$6-Scales!$B$6)*100</f>
        <v>64.0522875816994</v>
      </c>
      <c r="AD25" s="15" t="n">
        <f aca="false">(Scales!$C$7-J25)/(Scales!$C$7-Scales!$B$7)*100</f>
        <v>18.1372549019608</v>
      </c>
      <c r="AE25" s="13" t="n">
        <f aca="false">8-COUNT(G25:N25)</f>
        <v>0</v>
      </c>
      <c r="AF25" s="13" t="n">
        <f aca="false">IF(D25="Inferred",100,IF(V25&gt;=2,0,50))</f>
        <v>0</v>
      </c>
      <c r="AG25" s="13" t="n">
        <f aca="false">IF(K25="",100,K25)</f>
        <v>27</v>
      </c>
      <c r="AH25" s="15" t="n">
        <f aca="false">IF(AA25="",AVERAGE(AC25,AD25),AVERAGE(AA25,AB25,AC25,AD25))</f>
        <v>29.7061003650461</v>
      </c>
      <c r="AI25" s="15" t="n">
        <f aca="false">AVERAGE(L25,M25,N25)</f>
        <v>24.3333333333333</v>
      </c>
      <c r="AJ25" s="15" t="n">
        <f aca="false">AVERAGE((T25-1)/(Scales!$B$36-1)*100,R25,U25)</f>
        <v>6.66666666666667</v>
      </c>
      <c r="AK25" s="15" t="n">
        <f aca="false">AVERAGE(Z25,S25/Scales!$B$34*100)</f>
        <v>50.8333333333333</v>
      </c>
      <c r="AL25" s="15" t="n">
        <f aca="false">MAX(W25*Scales!$B$16,X25*Scales!$B$17)</f>
        <v>0</v>
      </c>
      <c r="AM25" s="15" t="n">
        <f aca="false">AVERAGE(AG25,AE25/8*100)</f>
        <v>13.5</v>
      </c>
      <c r="AN25" s="15" t="n">
        <f aca="false">SUMPRODUCT(AH25:AM25,Scales!$B$11:$G$11)/Scales!$H$11</f>
        <v>20.5662200730092</v>
      </c>
      <c r="AO25" s="15" t="n">
        <f aca="false">SUMPRODUCT(AH25:AM25,Scales!$B$12:$G$12)/Scales!$H$12</f>
        <v>20.8399056163966</v>
      </c>
      <c r="AP25" s="15" t="n">
        <f aca="false">SUMPRODUCT(AH25:AM25,Scales!$B$13:$G$13)/Scales!$H$13</f>
        <v>21.8868301095138</v>
      </c>
      <c r="AQ25" s="13" t="str">
        <f aca="false">IF(AN25&gt;=Scales!$B$38,"High",IF(AN25&gt;=Scales!$B$37,"Medium","Low"))</f>
        <v>Low</v>
      </c>
      <c r="AR25" s="13" t="str">
        <f aca="false">IF(D25&lt;&gt;"Confirmed","Low",IF(V25&gt;=2,"High","Medium"))</f>
        <v>High</v>
      </c>
      <c r="AS25" s="13" t="str">
        <f aca="false">IF(AE25=0,"High","Low")</f>
        <v>High</v>
      </c>
      <c r="AT25" s="13" t="str">
        <f aca="false">IF(OR(AR25="Low",AS25="Low"),"Low",IF(OR(AR25="Medium",AS25="Medium"),"Medium","High"))</f>
        <v>High</v>
      </c>
      <c r="AU25" s="13" t="str">
        <f aca="false">IF(D25="Inferred","Verify the link first (needs direct disclosure)",IF(AQ25="High",IF(AT25="Low","Verify data first","Search alternates now"),IF(AQ25="Medium","Prepare shortlist and monitor","Monitor")))</f>
        <v>Monitor</v>
      </c>
      <c r="AV25" s="13" t="n">
        <f aca="false">RANK(AN25,$AN$2:$AN$25)</f>
        <v>24</v>
      </c>
      <c r="AW25" s="13" t="n">
        <f aca="false">RANK(AO25,$AO$2:$AO$25)</f>
        <v>24</v>
      </c>
      <c r="AX25" s="13" t="n">
        <f aca="false">RANK(AP25,$AP$2:$AP$25)</f>
        <v>24</v>
      </c>
    </row>
    <row r="27" customFormat="false" ht="15" hidden="false" customHeight="false" outlineLevel="0" collapsed="false">
      <c r="A27" s="10"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6"/>
    <col collapsed="false" customWidth="true" hidden="false" outlineLevel="0" max="4" min="4" style="0" width="24"/>
    <col collapsed="false" customWidth="true" hidden="false" outlineLevel="0" max="5" min="5" style="0" width="20"/>
    <col collapsed="false" customWidth="true" hidden="false" outlineLevel="0" max="6" min="6" style="0" width="22"/>
    <col collapsed="false" customWidth="true" hidden="false" outlineLevel="0" max="7" min="7" style="0" width="18"/>
    <col collapsed="false" customWidth="true" hidden="false" outlineLevel="0" max="8" min="8" style="0" width="10"/>
  </cols>
  <sheetData>
    <row r="1" customFormat="false" ht="17.35" hidden="false" customHeight="false" outlineLevel="0" collapsed="false">
      <c r="A1" s="1" t="s">
        <v>255</v>
      </c>
      <c r="B1" s="10"/>
      <c r="C1" s="10"/>
      <c r="D1" s="10"/>
      <c r="E1" s="10"/>
      <c r="F1" s="10"/>
      <c r="G1" s="10"/>
      <c r="H1" s="10"/>
    </row>
    <row r="2" customFormat="false" ht="15" hidden="false" customHeight="false" outlineLevel="0" collapsed="false">
      <c r="A2" s="10"/>
      <c r="B2" s="10"/>
      <c r="C2" s="10"/>
      <c r="D2" s="10"/>
      <c r="E2" s="10"/>
      <c r="F2" s="10"/>
      <c r="G2" s="10"/>
      <c r="H2" s="10"/>
    </row>
    <row r="3" customFormat="false" ht="15" hidden="false" customHeight="false" outlineLevel="0" collapsed="false">
      <c r="A3" s="3" t="s">
        <v>256</v>
      </c>
      <c r="B3" s="3" t="s">
        <v>257</v>
      </c>
      <c r="C3" s="3" t="s">
        <v>258</v>
      </c>
      <c r="D3" s="3" t="s">
        <v>259</v>
      </c>
      <c r="E3" s="10"/>
      <c r="F3" s="10"/>
      <c r="G3" s="10"/>
      <c r="H3" s="10"/>
    </row>
    <row r="4" customFormat="false" ht="15" hidden="false" customHeight="false" outlineLevel="0" collapsed="false">
      <c r="A4" s="10" t="s">
        <v>177</v>
      </c>
      <c r="B4" s="16" t="n">
        <f aca="false">MIN(Indicators!C2:C31)</f>
        <v>0.62</v>
      </c>
      <c r="C4" s="16" t="n">
        <f aca="false">MAX(Indicators!C2:C31)</f>
        <v>2.53</v>
      </c>
      <c r="D4" s="10" t="s">
        <v>260</v>
      </c>
      <c r="E4" s="10"/>
      <c r="F4" s="10"/>
      <c r="G4" s="10"/>
      <c r="H4" s="10"/>
    </row>
    <row r="5" customFormat="false" ht="15" hidden="false" customHeight="false" outlineLevel="0" collapsed="false">
      <c r="A5" s="10" t="s">
        <v>261</v>
      </c>
      <c r="B5" s="16" t="n">
        <f aca="false">MIN(Indicators!D2:D31)</f>
        <v>1</v>
      </c>
      <c r="C5" s="16" t="n">
        <f aca="false">MAX(Indicators!D2:D31)</f>
        <v>7.2</v>
      </c>
      <c r="D5" s="10" t="s">
        <v>262</v>
      </c>
      <c r="E5" s="10"/>
      <c r="F5" s="10"/>
      <c r="G5" s="10"/>
      <c r="H5" s="10"/>
    </row>
    <row r="6" customFormat="false" ht="15" hidden="false" customHeight="false" outlineLevel="0" collapsed="false">
      <c r="A6" s="10" t="s">
        <v>263</v>
      </c>
      <c r="B6" s="16" t="n">
        <f aca="false">MIN(Indicators!E2:E31)</f>
        <v>76.4</v>
      </c>
      <c r="C6" s="16" t="n">
        <f aca="false">MAX(Indicators!E2:E31)</f>
        <v>91.7</v>
      </c>
      <c r="D6" s="10" t="s">
        <v>260</v>
      </c>
      <c r="E6" s="10"/>
      <c r="F6" s="10"/>
      <c r="G6" s="10"/>
      <c r="H6" s="10"/>
    </row>
    <row r="7" customFormat="false" ht="15" hidden="false" customHeight="false" outlineLevel="0" collapsed="false">
      <c r="A7" s="10" t="s">
        <v>264</v>
      </c>
      <c r="B7" s="16" t="n">
        <f aca="false">MIN(Indicators!F2:F31)</f>
        <v>-17.6</v>
      </c>
      <c r="C7" s="16" t="n">
        <f aca="false">MAX(Indicators!F2:F31)</f>
        <v>2.8</v>
      </c>
      <c r="D7" s="10" t="s">
        <v>265</v>
      </c>
      <c r="E7" s="10"/>
      <c r="F7" s="10"/>
      <c r="G7" s="10"/>
      <c r="H7" s="10"/>
    </row>
    <row r="8" customFormat="false" ht="15" hidden="false" customHeight="false" outlineLevel="0" collapsed="false">
      <c r="A8" s="10"/>
      <c r="B8" s="10"/>
      <c r="C8" s="10"/>
      <c r="D8" s="10"/>
      <c r="E8" s="10"/>
      <c r="F8" s="10"/>
      <c r="G8" s="10"/>
      <c r="H8" s="10"/>
    </row>
    <row r="9" customFormat="false" ht="15" hidden="false" customHeight="false" outlineLevel="0" collapsed="false">
      <c r="A9" s="17" t="s">
        <v>266</v>
      </c>
      <c r="B9" s="10"/>
      <c r="C9" s="10"/>
      <c r="D9" s="10"/>
      <c r="E9" s="10"/>
      <c r="F9" s="10"/>
      <c r="G9" s="10"/>
      <c r="H9" s="10"/>
    </row>
    <row r="10" customFormat="false" ht="43.5" hidden="false" customHeight="true" outlineLevel="0" collapsed="false">
      <c r="A10" s="3" t="s">
        <v>267</v>
      </c>
      <c r="B10" s="3" t="s">
        <v>268</v>
      </c>
      <c r="C10" s="3" t="s">
        <v>269</v>
      </c>
      <c r="D10" s="3" t="s">
        <v>270</v>
      </c>
      <c r="E10" s="3" t="s">
        <v>271</v>
      </c>
      <c r="F10" s="3" t="s">
        <v>272</v>
      </c>
      <c r="G10" s="3" t="s">
        <v>273</v>
      </c>
      <c r="H10" s="3" t="s">
        <v>274</v>
      </c>
    </row>
    <row r="11" customFormat="false" ht="15" hidden="false" customHeight="false" outlineLevel="0" collapsed="false">
      <c r="A11" s="10" t="s">
        <v>275</v>
      </c>
      <c r="B11" s="18" t="n">
        <v>20</v>
      </c>
      <c r="C11" s="18" t="n">
        <v>15</v>
      </c>
      <c r="D11" s="18" t="n">
        <v>30</v>
      </c>
      <c r="E11" s="18" t="n">
        <v>15</v>
      </c>
      <c r="F11" s="18" t="n">
        <v>10</v>
      </c>
      <c r="G11" s="18" t="n">
        <v>10</v>
      </c>
      <c r="H11" s="10" t="n">
        <f aca="false">SUM(B11:G11)</f>
        <v>100</v>
      </c>
    </row>
    <row r="12" customFormat="false" ht="15" hidden="false" customHeight="false" outlineLevel="0" collapsed="false">
      <c r="A12" s="10" t="s">
        <v>276</v>
      </c>
      <c r="B12" s="18" t="n">
        <v>1</v>
      </c>
      <c r="C12" s="18" t="n">
        <v>1</v>
      </c>
      <c r="D12" s="18" t="n">
        <v>1</v>
      </c>
      <c r="E12" s="18" t="n">
        <v>1</v>
      </c>
      <c r="F12" s="18" t="n">
        <v>1</v>
      </c>
      <c r="G12" s="18" t="n">
        <v>1</v>
      </c>
      <c r="H12" s="10" t="n">
        <f aca="false">SUM(B12:G12)</f>
        <v>6</v>
      </c>
    </row>
    <row r="13" customFormat="false" ht="15" hidden="false" customHeight="false" outlineLevel="0" collapsed="false">
      <c r="A13" s="10" t="s">
        <v>277</v>
      </c>
      <c r="B13" s="18" t="n">
        <v>30</v>
      </c>
      <c r="C13" s="18" t="n">
        <v>20</v>
      </c>
      <c r="D13" s="18" t="n">
        <v>15</v>
      </c>
      <c r="E13" s="18" t="n">
        <v>10</v>
      </c>
      <c r="F13" s="18" t="n">
        <v>10</v>
      </c>
      <c r="G13" s="18" t="n">
        <v>15</v>
      </c>
      <c r="H13" s="10" t="n">
        <f aca="false">SUM(B13:G13)</f>
        <v>100</v>
      </c>
    </row>
    <row r="14" customFormat="false" ht="15" hidden="false" customHeight="false" outlineLevel="0" collapsed="false">
      <c r="A14" s="10"/>
      <c r="B14" s="10"/>
      <c r="C14" s="10"/>
      <c r="D14" s="10"/>
      <c r="E14" s="10"/>
      <c r="F14" s="10"/>
      <c r="G14" s="10"/>
      <c r="H14" s="10"/>
    </row>
    <row r="15" customFormat="false" ht="15" hidden="false" customHeight="false" outlineLevel="0" collapsed="false">
      <c r="A15" s="17" t="s">
        <v>278</v>
      </c>
      <c r="B15" s="10"/>
      <c r="C15" s="10"/>
      <c r="D15" s="10"/>
      <c r="E15" s="10"/>
      <c r="F15" s="10"/>
      <c r="G15" s="10"/>
      <c r="H15" s="10"/>
    </row>
    <row r="16" customFormat="false" ht="15" hidden="false" customHeight="false" outlineLevel="0" collapsed="false">
      <c r="A16" s="10" t="s">
        <v>279</v>
      </c>
      <c r="B16" s="18" t="n">
        <v>40</v>
      </c>
      <c r="C16" s="10"/>
      <c r="D16" s="10"/>
      <c r="E16" s="10"/>
      <c r="F16" s="10"/>
      <c r="G16" s="10"/>
      <c r="H16" s="10"/>
    </row>
    <row r="17" customFormat="false" ht="15" hidden="false" customHeight="false" outlineLevel="0" collapsed="false">
      <c r="A17" s="10" t="s">
        <v>280</v>
      </c>
      <c r="B17" s="18" t="n">
        <v>60</v>
      </c>
      <c r="C17" s="10"/>
      <c r="D17" s="10"/>
      <c r="E17" s="10"/>
      <c r="F17" s="10"/>
      <c r="G17" s="10"/>
      <c r="H17" s="10"/>
    </row>
    <row r="18" customFormat="false" ht="15" hidden="false" customHeight="false" outlineLevel="0" collapsed="false">
      <c r="A18" s="10" t="s">
        <v>281</v>
      </c>
      <c r="B18" s="18" t="n">
        <v>100</v>
      </c>
      <c r="C18" s="10"/>
      <c r="D18" s="10"/>
      <c r="E18" s="10"/>
      <c r="F18" s="10"/>
      <c r="G18" s="10"/>
      <c r="H18" s="10"/>
    </row>
    <row r="19" customFormat="false" ht="15" hidden="false" customHeight="false" outlineLevel="0" collapsed="false">
      <c r="A19" s="10"/>
      <c r="B19" s="10"/>
      <c r="C19" s="10"/>
      <c r="D19" s="10"/>
      <c r="E19" s="10"/>
      <c r="F19" s="10"/>
      <c r="G19" s="10"/>
      <c r="H19" s="10"/>
    </row>
    <row r="20" customFormat="false" ht="15" hidden="false" customHeight="false" outlineLevel="0" collapsed="false">
      <c r="A20" s="17" t="s">
        <v>282</v>
      </c>
      <c r="B20" s="10"/>
      <c r="C20" s="10"/>
      <c r="D20" s="10"/>
      <c r="E20" s="10"/>
      <c r="F20" s="10"/>
      <c r="G20" s="10"/>
      <c r="H20" s="10"/>
    </row>
    <row r="21" customFormat="false" ht="15" hidden="false" customHeight="false" outlineLevel="0" collapsed="false">
      <c r="A21" s="10" t="s">
        <v>283</v>
      </c>
      <c r="B21" s="18" t="n">
        <v>624</v>
      </c>
      <c r="C21" s="10"/>
      <c r="D21" s="10"/>
      <c r="E21" s="10"/>
      <c r="F21" s="10"/>
      <c r="G21" s="10"/>
      <c r="H21" s="10"/>
    </row>
    <row r="22" customFormat="false" ht="15" hidden="false" customHeight="false" outlineLevel="0" collapsed="false">
      <c r="A22" s="10" t="s">
        <v>284</v>
      </c>
      <c r="B22" s="18" t="n">
        <v>520</v>
      </c>
      <c r="C22" s="10"/>
      <c r="D22" s="10"/>
      <c r="E22" s="10"/>
      <c r="F22" s="10"/>
      <c r="G22" s="10"/>
      <c r="H22" s="10"/>
    </row>
    <row r="23" customFormat="false" ht="15" hidden="false" customHeight="false" outlineLevel="0" collapsed="false">
      <c r="A23" s="10" t="s">
        <v>285</v>
      </c>
      <c r="B23" s="18" t="n">
        <v>416</v>
      </c>
      <c r="C23" s="10"/>
      <c r="D23" s="10"/>
      <c r="E23" s="10"/>
      <c r="F23" s="10"/>
      <c r="G23" s="10"/>
      <c r="H23" s="10"/>
    </row>
    <row r="24" customFormat="false" ht="15" hidden="false" customHeight="false" outlineLevel="0" collapsed="false">
      <c r="A24" s="10" t="s">
        <v>274</v>
      </c>
      <c r="B24" s="10" t="n">
        <f aca="false">SUM(B21:B23)</f>
        <v>1560</v>
      </c>
      <c r="C24" s="10"/>
      <c r="D24" s="10"/>
      <c r="E24" s="10"/>
      <c r="F24" s="10"/>
      <c r="G24" s="10"/>
      <c r="H24" s="10"/>
    </row>
    <row r="25" customFormat="false" ht="15" hidden="false" customHeight="false" outlineLevel="0" collapsed="false">
      <c r="A25" s="10"/>
      <c r="B25" s="10"/>
      <c r="C25" s="10"/>
      <c r="D25" s="10"/>
      <c r="E25" s="10"/>
      <c r="F25" s="10"/>
      <c r="G25" s="10"/>
      <c r="H25" s="10"/>
    </row>
    <row r="26" customFormat="false" ht="15" hidden="false" customHeight="false" outlineLevel="0" collapsed="false">
      <c r="A26" s="17" t="s">
        <v>286</v>
      </c>
      <c r="B26" s="10"/>
      <c r="C26" s="10"/>
      <c r="D26" s="10"/>
      <c r="E26" s="10"/>
      <c r="F26" s="10"/>
      <c r="G26" s="10"/>
      <c r="H26" s="10"/>
    </row>
    <row r="27" customFormat="false" ht="15" hidden="false" customHeight="false" outlineLevel="0" collapsed="false">
      <c r="A27" s="10" t="s">
        <v>73</v>
      </c>
      <c r="B27" s="18" t="n">
        <v>16</v>
      </c>
      <c r="C27" s="10"/>
      <c r="D27" s="10"/>
      <c r="E27" s="10"/>
      <c r="F27" s="10"/>
      <c r="G27" s="10"/>
      <c r="H27" s="10"/>
    </row>
    <row r="28" customFormat="false" ht="15" hidden="false" customHeight="false" outlineLevel="0" collapsed="false">
      <c r="A28" s="10" t="s">
        <v>96</v>
      </c>
      <c r="B28" s="18" t="n">
        <v>16</v>
      </c>
      <c r="C28" s="10"/>
      <c r="D28" s="10"/>
      <c r="E28" s="10"/>
      <c r="F28" s="10"/>
      <c r="G28" s="10"/>
      <c r="H28" s="10"/>
    </row>
    <row r="29" customFormat="false" ht="15" hidden="false" customHeight="false" outlineLevel="0" collapsed="false">
      <c r="A29" s="10" t="s">
        <v>49</v>
      </c>
      <c r="B29" s="18" t="n">
        <v>12</v>
      </c>
      <c r="C29" s="10"/>
      <c r="D29" s="10"/>
      <c r="E29" s="10"/>
      <c r="F29" s="10"/>
      <c r="G29" s="10"/>
      <c r="H29" s="10"/>
    </row>
    <row r="30" customFormat="false" ht="15" hidden="false" customHeight="false" outlineLevel="0" collapsed="false">
      <c r="A30" s="10" t="s">
        <v>62</v>
      </c>
      <c r="B30" s="18" t="n">
        <v>8</v>
      </c>
      <c r="C30" s="10"/>
      <c r="D30" s="10"/>
      <c r="E30" s="10"/>
      <c r="F30" s="10"/>
      <c r="G30" s="10"/>
      <c r="H30" s="10"/>
    </row>
    <row r="31" customFormat="false" ht="15" hidden="false" customHeight="false" outlineLevel="0" collapsed="false">
      <c r="A31" s="10" t="s">
        <v>69</v>
      </c>
      <c r="B31" s="18" t="n">
        <v>4</v>
      </c>
      <c r="C31" s="10"/>
      <c r="D31" s="10"/>
      <c r="E31" s="10"/>
      <c r="F31" s="10"/>
      <c r="G31" s="10"/>
      <c r="H31" s="10"/>
    </row>
    <row r="32" customFormat="false" ht="15" hidden="false" customHeight="false" outlineLevel="0" collapsed="false">
      <c r="A32" s="10" t="s">
        <v>92</v>
      </c>
      <c r="B32" s="18" t="n">
        <v>6</v>
      </c>
      <c r="C32" s="10"/>
      <c r="D32" s="10"/>
      <c r="E32" s="10"/>
      <c r="F32" s="10"/>
      <c r="G32" s="10"/>
      <c r="H32" s="10"/>
    </row>
    <row r="33" customFormat="false" ht="15" hidden="false" customHeight="false" outlineLevel="0" collapsed="false">
      <c r="A33" s="10" t="s">
        <v>108</v>
      </c>
      <c r="B33" s="18" t="n">
        <v>12</v>
      </c>
      <c r="C33" s="10"/>
      <c r="D33" s="10"/>
      <c r="E33" s="10"/>
      <c r="F33" s="10"/>
      <c r="G33" s="10"/>
      <c r="H33" s="10"/>
    </row>
    <row r="34" customFormat="false" ht="15" hidden="false" customHeight="false" outlineLevel="0" collapsed="false">
      <c r="A34" s="10" t="s">
        <v>287</v>
      </c>
      <c r="B34" s="10" t="n">
        <f aca="false">MAX(B27:B33)</f>
        <v>16</v>
      </c>
      <c r="C34" s="10"/>
      <c r="D34" s="10"/>
      <c r="E34" s="10"/>
      <c r="F34" s="10"/>
      <c r="G34" s="10"/>
      <c r="H34" s="10"/>
    </row>
    <row r="35" customFormat="false" ht="15" hidden="false" customHeight="false" outlineLevel="0" collapsed="false">
      <c r="A35" s="10"/>
      <c r="B35" s="10"/>
      <c r="C35" s="10"/>
      <c r="D35" s="10"/>
      <c r="E35" s="10"/>
      <c r="F35" s="10"/>
      <c r="G35" s="10"/>
      <c r="H35" s="10"/>
    </row>
    <row r="36" customFormat="false" ht="15" hidden="false" customHeight="false" outlineLevel="0" collapsed="false">
      <c r="A36" s="10" t="s">
        <v>288</v>
      </c>
      <c r="B36" s="10" t="n">
        <f aca="false">MAX(Calc!T2:T25)</f>
        <v>3</v>
      </c>
      <c r="C36" s="10"/>
      <c r="D36" s="10"/>
      <c r="E36" s="10"/>
      <c r="F36" s="10"/>
      <c r="G36" s="10"/>
      <c r="H36" s="10"/>
    </row>
    <row r="37" customFormat="false" ht="15" hidden="false" customHeight="false" outlineLevel="0" collapsed="false">
      <c r="A37" s="10" t="s">
        <v>289</v>
      </c>
      <c r="B37" s="19" t="n">
        <f aca="false">PERCENTILE(Calc!AN2:AN25,1/3)</f>
        <v>41.5259922034456</v>
      </c>
      <c r="C37" s="10"/>
      <c r="D37" s="10"/>
      <c r="E37" s="10"/>
      <c r="F37" s="10"/>
      <c r="G37" s="10"/>
      <c r="H37" s="10"/>
    </row>
    <row r="38" customFormat="false" ht="15" hidden="false" customHeight="false" outlineLevel="0" collapsed="false">
      <c r="A38" s="10" t="s">
        <v>290</v>
      </c>
      <c r="B38" s="19" t="n">
        <f aca="false">PERCENTILE(Calc!AN2:AN25,2/3)</f>
        <v>54.2898977054088</v>
      </c>
      <c r="C38" s="10"/>
      <c r="D38" s="10"/>
      <c r="E38" s="10"/>
      <c r="F38" s="10"/>
      <c r="G38" s="10"/>
      <c r="H38"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26"/>
    <col collapsed="false" customWidth="true" hidden="false" outlineLevel="0" max="7" min="7" style="0" width="12"/>
    <col collapsed="false" customWidth="true" hidden="false" outlineLevel="0" max="8" min="8" style="0" width="56"/>
    <col collapsed="false" customWidth="true" hidden="false" outlineLevel="0" max="9" min="9" style="0" width="36"/>
  </cols>
  <sheetData>
    <row r="1" customFormat="false" ht="31.5" hidden="false" customHeight="true" outlineLevel="0" collapsed="false">
      <c r="A1" s="3" t="s">
        <v>291</v>
      </c>
      <c r="B1" s="3" t="s">
        <v>292</v>
      </c>
      <c r="C1" s="3" t="s">
        <v>293</v>
      </c>
      <c r="D1" s="3" t="s">
        <v>294</v>
      </c>
      <c r="E1" s="3" t="s">
        <v>295</v>
      </c>
      <c r="F1" s="3" t="s">
        <v>296</v>
      </c>
      <c r="G1" s="3" t="s">
        <v>297</v>
      </c>
      <c r="H1" s="3" t="s">
        <v>298</v>
      </c>
      <c r="I1" s="3" t="s">
        <v>299</v>
      </c>
    </row>
    <row r="2" customFormat="false" ht="42" hidden="false" customHeight="true" outlineLevel="0" collapsed="false">
      <c r="A2" s="9" t="s">
        <v>300</v>
      </c>
      <c r="B2" s="9" t="s">
        <v>301</v>
      </c>
      <c r="C2" s="9" t="s">
        <v>302</v>
      </c>
      <c r="D2" s="9" t="s">
        <v>303</v>
      </c>
      <c r="E2" s="9" t="s">
        <v>304</v>
      </c>
      <c r="F2" s="9" t="s">
        <v>305</v>
      </c>
      <c r="G2" s="9" t="n">
        <f aca="false">Scales!B16</f>
        <v>40</v>
      </c>
      <c r="H2" s="9" t="s">
        <v>306</v>
      </c>
      <c r="I2" s="9" t="s">
        <v>307</v>
      </c>
    </row>
    <row r="3" customFormat="false" ht="42" hidden="false" customHeight="true" outlineLevel="0" collapsed="false">
      <c r="A3" s="9" t="s">
        <v>308</v>
      </c>
      <c r="B3" s="9" t="s">
        <v>301</v>
      </c>
      <c r="C3" s="9" t="s">
        <v>309</v>
      </c>
      <c r="D3" s="9" t="s">
        <v>310</v>
      </c>
      <c r="E3" s="9" t="s">
        <v>311</v>
      </c>
      <c r="F3" s="9" t="s">
        <v>312</v>
      </c>
      <c r="G3" s="9" t="n">
        <f aca="false">0</f>
        <v>0</v>
      </c>
      <c r="H3" s="9" t="s">
        <v>313</v>
      </c>
      <c r="I3" s="9" t="s">
        <v>314</v>
      </c>
    </row>
    <row r="4" customFormat="false" ht="42" hidden="false" customHeight="true" outlineLevel="0" collapsed="false">
      <c r="A4" s="9" t="s">
        <v>315</v>
      </c>
      <c r="B4" s="9" t="s">
        <v>316</v>
      </c>
      <c r="C4" s="9" t="s">
        <v>317</v>
      </c>
      <c r="D4" s="9" t="s">
        <v>318</v>
      </c>
      <c r="E4" s="9" t="s">
        <v>319</v>
      </c>
      <c r="F4" s="9" t="s">
        <v>320</v>
      </c>
      <c r="G4" s="9" t="n">
        <f aca="false">Scales!B17</f>
        <v>60</v>
      </c>
      <c r="H4" s="9" t="s">
        <v>321</v>
      </c>
      <c r="I4" s="9" t="s">
        <v>322</v>
      </c>
    </row>
    <row r="5" customFormat="false" ht="42" hidden="false" customHeight="true" outlineLevel="0" collapsed="false">
      <c r="A5" s="9" t="s">
        <v>323</v>
      </c>
      <c r="B5" s="9" t="s">
        <v>324</v>
      </c>
      <c r="C5" s="9" t="s">
        <v>325</v>
      </c>
      <c r="D5" s="9" t="s">
        <v>326</v>
      </c>
      <c r="E5" s="9" t="s">
        <v>327</v>
      </c>
      <c r="F5" s="9" t="s">
        <v>312</v>
      </c>
      <c r="G5" s="9" t="n">
        <f aca="false">0</f>
        <v>0</v>
      </c>
      <c r="H5" s="9" t="s">
        <v>328</v>
      </c>
      <c r="I5" s="9" t="s">
        <v>314</v>
      </c>
    </row>
    <row r="6" customFormat="false" ht="42" hidden="false" customHeight="true" outlineLevel="0" collapsed="false">
      <c r="A6" s="9" t="s">
        <v>329</v>
      </c>
      <c r="B6" s="9" t="s">
        <v>330</v>
      </c>
      <c r="C6" s="9" t="s">
        <v>331</v>
      </c>
      <c r="D6" s="9" t="s">
        <v>332</v>
      </c>
      <c r="E6" s="9" t="s">
        <v>327</v>
      </c>
      <c r="F6" s="9" t="s">
        <v>312</v>
      </c>
      <c r="G6" s="9" t="n">
        <f aca="false">0</f>
        <v>0</v>
      </c>
      <c r="H6" s="9" t="s">
        <v>333</v>
      </c>
      <c r="I6" s="9" t="s">
        <v>314</v>
      </c>
    </row>
    <row r="7" customFormat="false" ht="42" hidden="false" customHeight="true" outlineLevel="0" collapsed="false">
      <c r="A7" s="9" t="s">
        <v>334</v>
      </c>
      <c r="B7" s="9" t="s">
        <v>335</v>
      </c>
      <c r="C7" s="9" t="s">
        <v>336</v>
      </c>
      <c r="D7" s="9" t="s">
        <v>337</v>
      </c>
      <c r="E7" s="9" t="s">
        <v>338</v>
      </c>
      <c r="F7" s="9" t="s">
        <v>312</v>
      </c>
      <c r="G7" s="9" t="n">
        <f aca="false">0</f>
        <v>0</v>
      </c>
      <c r="H7" s="9" t="s">
        <v>339</v>
      </c>
      <c r="I7" s="9" t="s">
        <v>340</v>
      </c>
    </row>
    <row r="8" customFormat="false" ht="42" hidden="false" customHeight="true" outlineLevel="0" collapsed="false">
      <c r="A8" s="9" t="s">
        <v>341</v>
      </c>
      <c r="B8" s="9" t="s">
        <v>342</v>
      </c>
      <c r="C8" s="9" t="s">
        <v>343</v>
      </c>
      <c r="D8" s="9" t="s">
        <v>326</v>
      </c>
      <c r="E8" s="9" t="s">
        <v>327</v>
      </c>
      <c r="F8" s="9" t="s">
        <v>312</v>
      </c>
      <c r="G8" s="9" t="n">
        <f aca="false">0</f>
        <v>0</v>
      </c>
      <c r="H8" s="9" t="s">
        <v>344</v>
      </c>
      <c r="I8" s="9" t="s">
        <v>314</v>
      </c>
    </row>
    <row r="9" customFormat="false" ht="42" hidden="false" customHeight="true" outlineLevel="0" collapsed="false">
      <c r="A9" s="9" t="s">
        <v>345</v>
      </c>
      <c r="B9" s="9" t="s">
        <v>346</v>
      </c>
      <c r="C9" s="9" t="s">
        <v>347</v>
      </c>
      <c r="D9" s="9" t="s">
        <v>348</v>
      </c>
      <c r="E9" s="9" t="s">
        <v>327</v>
      </c>
      <c r="F9" s="9" t="s">
        <v>312</v>
      </c>
      <c r="G9" s="9" t="n">
        <f aca="false">0</f>
        <v>0</v>
      </c>
      <c r="H9" s="9" t="s">
        <v>349</v>
      </c>
      <c r="I9" s="9" t="s">
        <v>350</v>
      </c>
    </row>
    <row r="11" customFormat="false" ht="15" hidden="false" customHeight="false" outlineLevel="0" collapsed="false">
      <c r="A11" s="10"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4" min="3" style="0" width="18"/>
    <col collapsed="false" customWidth="true" hidden="false" outlineLevel="0" max="5" min="5" style="0" width="24"/>
    <col collapsed="false" customWidth="true" hidden="false" outlineLevel="0" max="6" min="6" style="0" width="12"/>
  </cols>
  <sheetData>
    <row r="1" customFormat="false" ht="31.5" hidden="false" customHeight="true" outlineLevel="0" collapsed="false">
      <c r="A1" s="3" t="s">
        <v>3</v>
      </c>
      <c r="B1" s="3" t="s">
        <v>4</v>
      </c>
      <c r="C1" s="3" t="s">
        <v>352</v>
      </c>
      <c r="D1" s="3" t="s">
        <v>353</v>
      </c>
      <c r="E1" s="3" t="s">
        <v>354</v>
      </c>
      <c r="F1" s="3" t="s">
        <v>355</v>
      </c>
    </row>
    <row r="2" customFormat="false" ht="15" hidden="false" customHeight="false" outlineLevel="0" collapsed="false">
      <c r="A2" s="13" t="str">
        <f aca="false">Calc!A2</f>
        <v>ORG-453</v>
      </c>
      <c r="B2" s="13" t="str">
        <f aca="false">Calc!B2</f>
        <v>Jade Printed Circuits Ltd.</v>
      </c>
      <c r="C2" s="13" t="n">
        <f aca="false">Calc!AV2</f>
        <v>1</v>
      </c>
      <c r="D2" s="13" t="n">
        <f aca="false">Calc!AW2</f>
        <v>3</v>
      </c>
      <c r="E2" s="13" t="n">
        <f aca="false">Calc!AX2</f>
        <v>4</v>
      </c>
      <c r="F2" s="13" t="n">
        <f aca="false">MAX(C2:E2)-MIN(C2:E2)</f>
        <v>3</v>
      </c>
    </row>
    <row r="3" customFormat="false" ht="15" hidden="false" customHeight="false" outlineLevel="0" collapsed="false">
      <c r="A3" s="13" t="str">
        <f aca="false">Calc!A3</f>
        <v>ORG-455</v>
      </c>
      <c r="B3" s="13" t="str">
        <f aca="false">Calc!B3</f>
        <v>Umber Silicon Carbide Ltd.</v>
      </c>
      <c r="C3" s="13" t="n">
        <f aca="false">Calc!AV3</f>
        <v>2</v>
      </c>
      <c r="D3" s="13" t="n">
        <f aca="false">Calc!AW3</f>
        <v>1</v>
      </c>
      <c r="E3" s="13" t="n">
        <f aca="false">Calc!AX3</f>
        <v>1</v>
      </c>
      <c r="F3" s="13" t="n">
        <f aca="false">MAX(C3:E3)-MIN(C3:E3)</f>
        <v>1</v>
      </c>
    </row>
    <row r="4" customFormat="false" ht="15" hidden="false" customHeight="false" outlineLevel="0" collapsed="false">
      <c r="A4" s="13" t="str">
        <f aca="false">Calc!A4</f>
        <v>ORG-736</v>
      </c>
      <c r="B4" s="13" t="str">
        <f aca="false">Calc!B4</f>
        <v>Verdant Process Gases Ltd.</v>
      </c>
      <c r="C4" s="13" t="n">
        <f aca="false">Calc!AV4</f>
        <v>3</v>
      </c>
      <c r="D4" s="13" t="n">
        <f aca="false">Calc!AW4</f>
        <v>2</v>
      </c>
      <c r="E4" s="13" t="n">
        <f aca="false">Calc!AX4</f>
        <v>2</v>
      </c>
      <c r="F4" s="13" t="n">
        <f aca="false">MAX(C4:E4)-MIN(C4:E4)</f>
        <v>1</v>
      </c>
    </row>
    <row r="5" customFormat="false" ht="15" hidden="false" customHeight="false" outlineLevel="0" collapsed="false">
      <c r="A5" s="13" t="str">
        <f aca="false">Calc!A5</f>
        <v>ORG-439</v>
      </c>
      <c r="B5" s="13" t="str">
        <f aca="false">Calc!B5</f>
        <v>IonPeak Semiconductor Ltd.</v>
      </c>
      <c r="C5" s="13" t="n">
        <f aca="false">Calc!AV5</f>
        <v>4</v>
      </c>
      <c r="D5" s="13" t="n">
        <f aca="false">Calc!AW5</f>
        <v>4</v>
      </c>
      <c r="E5" s="13" t="n">
        <f aca="false">Calc!AX5</f>
        <v>5</v>
      </c>
      <c r="F5" s="13" t="n">
        <f aca="false">MAX(C5:E5)-MIN(C5:E5)</f>
        <v>1</v>
      </c>
    </row>
    <row r="6" customFormat="false" ht="15" hidden="false" customHeight="false" outlineLevel="0" collapsed="false">
      <c r="A6" s="13" t="str">
        <f aca="false">Calc!A6</f>
        <v>ORG-708</v>
      </c>
      <c r="B6" s="13" t="str">
        <f aca="false">Calc!B6</f>
        <v>Orion Ceramics Ltd.</v>
      </c>
      <c r="C6" s="13" t="n">
        <f aca="false">Calc!AV6</f>
        <v>5</v>
      </c>
      <c r="D6" s="13" t="n">
        <f aca="false">Calc!AW6</f>
        <v>6</v>
      </c>
      <c r="E6" s="13" t="n">
        <f aca="false">Calc!AX6</f>
        <v>6</v>
      </c>
      <c r="F6" s="13" t="n">
        <f aca="false">MAX(C6:E6)-MIN(C6:E6)</f>
        <v>1</v>
      </c>
    </row>
    <row r="7" customFormat="false" ht="15" hidden="false" customHeight="false" outlineLevel="0" collapsed="false">
      <c r="A7" s="13" t="str">
        <f aca="false">Calc!A7</f>
        <v>ORG-210</v>
      </c>
      <c r="B7" s="13" t="str">
        <f aca="false">Calc!B7</f>
        <v>Meridian Dielectrics Ltd.</v>
      </c>
      <c r="C7" s="13" t="n">
        <f aca="false">Calc!AV7</f>
        <v>6</v>
      </c>
      <c r="D7" s="13" t="n">
        <f aca="false">Calc!AW7</f>
        <v>5</v>
      </c>
      <c r="E7" s="13" t="n">
        <f aca="false">Calc!AX7</f>
        <v>3</v>
      </c>
      <c r="F7" s="13" t="n">
        <f aca="false">MAX(C7:E7)-MIN(C7:E7)</f>
        <v>3</v>
      </c>
    </row>
    <row r="8" customFormat="false" ht="15" hidden="false" customHeight="false" outlineLevel="0" collapsed="false">
      <c r="A8" s="13" t="str">
        <f aca="false">Calc!A8</f>
        <v>ORG-873</v>
      </c>
      <c r="B8" s="13" t="str">
        <f aca="false">Calc!B8</f>
        <v>Warden Copper Foil Ltd.</v>
      </c>
      <c r="C8" s="13" t="n">
        <f aca="false">Calc!AV8</f>
        <v>7</v>
      </c>
      <c r="D8" s="13" t="n">
        <f aca="false">Calc!AW8</f>
        <v>7</v>
      </c>
      <c r="E8" s="13" t="n">
        <f aca="false">Calc!AX8</f>
        <v>7</v>
      </c>
      <c r="F8" s="13" t="n">
        <f aca="false">MAX(C8:E8)-MIN(C8:E8)</f>
        <v>0</v>
      </c>
    </row>
    <row r="9" customFormat="false" ht="15" hidden="false" customHeight="false" outlineLevel="0" collapsed="false">
      <c r="A9" s="13" t="str">
        <f aca="false">Calc!A9</f>
        <v>ORG-179</v>
      </c>
      <c r="B9" s="13" t="str">
        <f aca="false">Calc!B9</f>
        <v>Xenon Resin Ltd.</v>
      </c>
      <c r="C9" s="13" t="n">
        <f aca="false">Calc!AV9</f>
        <v>8</v>
      </c>
      <c r="D9" s="13" t="n">
        <f aca="false">Calc!AW9</f>
        <v>8</v>
      </c>
      <c r="E9" s="13" t="n">
        <f aca="false">Calc!AX9</f>
        <v>8</v>
      </c>
      <c r="F9" s="13" t="n">
        <f aca="false">MAX(C9:E9)-MIN(C9:E9)</f>
        <v>0</v>
      </c>
    </row>
    <row r="10" customFormat="false" ht="15" hidden="false" customHeight="false" outlineLevel="0" collapsed="false">
      <c r="A10" s="13" t="str">
        <f aca="false">Calc!A10</f>
        <v>ORG-942</v>
      </c>
      <c r="B10" s="13" t="str">
        <f aca="false">Calc!B10</f>
        <v>Lumen Magnetics Ltd.</v>
      </c>
      <c r="C10" s="13" t="n">
        <f aca="false">Calc!AV10</f>
        <v>9</v>
      </c>
      <c r="D10" s="13" t="n">
        <f aca="false">Calc!AW10</f>
        <v>10</v>
      </c>
      <c r="E10" s="13" t="n">
        <f aca="false">Calc!AX10</f>
        <v>9</v>
      </c>
      <c r="F10" s="13" t="n">
        <f aca="false">MAX(C10:E10)-MIN(C10:E10)</f>
        <v>1</v>
      </c>
    </row>
    <row r="11" customFormat="false" ht="15" hidden="false" customHeight="false" outlineLevel="0" collapsed="false">
      <c r="A11" s="13" t="str">
        <f aca="false">Calc!A11</f>
        <v>ORG-520</v>
      </c>
      <c r="B11" s="13" t="str">
        <f aca="false">Calc!B11</f>
        <v>Yarrow Specialty Minerals Ltd.</v>
      </c>
      <c r="C11" s="13" t="n">
        <f aca="false">Calc!AV11</f>
        <v>10</v>
      </c>
      <c r="D11" s="13" t="n">
        <f aca="false">Calc!AW11</f>
        <v>9</v>
      </c>
      <c r="E11" s="13" t="n">
        <f aca="false">Calc!AX11</f>
        <v>11</v>
      </c>
      <c r="F11" s="13" t="n">
        <f aca="false">MAX(C11:E11)-MIN(C11:E11)</f>
        <v>2</v>
      </c>
    </row>
    <row r="12" customFormat="false" ht="15" hidden="false" customHeight="false" outlineLevel="0" collapsed="false">
      <c r="A12" s="13" t="str">
        <f aca="false">Calc!A12</f>
        <v>ORG-119</v>
      </c>
      <c r="B12" s="13" t="str">
        <f aca="false">Calc!B12</f>
        <v>Cobalt Control Electronics Ltd.</v>
      </c>
      <c r="C12" s="13" t="n">
        <f aca="false">Calc!AV12</f>
        <v>11</v>
      </c>
      <c r="D12" s="13" t="n">
        <f aca="false">Calc!AW12</f>
        <v>11</v>
      </c>
      <c r="E12" s="13" t="n">
        <f aca="false">Calc!AX12</f>
        <v>10</v>
      </c>
      <c r="F12" s="13" t="n">
        <f aca="false">MAX(C12:E12)-MIN(C12:E12)</f>
        <v>1</v>
      </c>
    </row>
    <row r="13" customFormat="false" ht="15" hidden="false" customHeight="false" outlineLevel="0" collapsed="false">
      <c r="A13" s="13" t="str">
        <f aca="false">Calc!A13</f>
        <v>ORG-728</v>
      </c>
      <c r="B13" s="13" t="str">
        <f aca="false">Calc!B13</f>
        <v>Kestrel Microdevices Ltd.</v>
      </c>
      <c r="C13" s="13" t="n">
        <f aca="false">Calc!AV13</f>
        <v>12</v>
      </c>
      <c r="D13" s="13" t="n">
        <f aca="false">Calc!AW13</f>
        <v>13</v>
      </c>
      <c r="E13" s="13" t="n">
        <f aca="false">Calc!AX13</f>
        <v>17</v>
      </c>
      <c r="F13" s="13" t="n">
        <f aca="false">MAX(C13:E13)-MIN(C13:E13)</f>
        <v>5</v>
      </c>
    </row>
    <row r="14" customFormat="false" ht="15" hidden="false" customHeight="false" outlineLevel="0" collapsed="false">
      <c r="A14" s="13" t="str">
        <f aca="false">Calc!A14</f>
        <v>ORG-469</v>
      </c>
      <c r="B14" s="13" t="str">
        <f aca="false">Calc!B14</f>
        <v>Rill Connectors Ltd.</v>
      </c>
      <c r="C14" s="13" t="n">
        <f aca="false">Calc!AV14</f>
        <v>13</v>
      </c>
      <c r="D14" s="13" t="n">
        <f aca="false">Calc!AW14</f>
        <v>12</v>
      </c>
      <c r="E14" s="13" t="n">
        <f aca="false">Calc!AX14</f>
        <v>13</v>
      </c>
      <c r="F14" s="13" t="n">
        <f aca="false">MAX(C14:E14)-MIN(C14:E14)</f>
        <v>1</v>
      </c>
    </row>
    <row r="15" customFormat="false" ht="15" hidden="false" customHeight="false" outlineLevel="0" collapsed="false">
      <c r="A15" s="13" t="str">
        <f aca="false">Calc!A15</f>
        <v>ORG-849</v>
      </c>
      <c r="B15" s="13" t="str">
        <f aca="false">Calc!B15</f>
        <v>Nacre Foils Ltd.</v>
      </c>
      <c r="C15" s="13" t="n">
        <f aca="false">Calc!AV15</f>
        <v>14</v>
      </c>
      <c r="D15" s="13" t="n">
        <f aca="false">Calc!AW15</f>
        <v>14</v>
      </c>
      <c r="E15" s="13" t="n">
        <f aca="false">Calc!AX15</f>
        <v>12</v>
      </c>
      <c r="F15" s="13" t="n">
        <f aca="false">MAX(C15:E15)-MIN(C15:E15)</f>
        <v>2</v>
      </c>
    </row>
    <row r="16" customFormat="false" ht="15" hidden="false" customHeight="false" outlineLevel="0" collapsed="false">
      <c r="A16" s="13" t="str">
        <f aca="false">Calc!A16</f>
        <v>ORG-247</v>
      </c>
      <c r="B16" s="13" t="str">
        <f aca="false">Calc!B16</f>
        <v>Aster Power Assemblies Ltd.</v>
      </c>
      <c r="C16" s="13" t="n">
        <f aca="false">Calc!AV16</f>
        <v>15</v>
      </c>
      <c r="D16" s="13" t="n">
        <f aca="false">Calc!AW16</f>
        <v>16</v>
      </c>
      <c r="E16" s="13" t="n">
        <f aca="false">Calc!AX16</f>
        <v>19</v>
      </c>
      <c r="F16" s="13" t="n">
        <f aca="false">MAX(C16:E16)-MIN(C16:E16)</f>
        <v>4</v>
      </c>
    </row>
    <row r="17" customFormat="false" ht="15" hidden="false" customHeight="false" outlineLevel="0" collapsed="false">
      <c r="A17" s="13" t="str">
        <f aca="false">Calc!A17</f>
        <v>ORG-786</v>
      </c>
      <c r="B17" s="13" t="str">
        <f aca="false">Calc!B17</f>
        <v>Estuary Thermal Systems Ltd.</v>
      </c>
      <c r="C17" s="13" t="n">
        <f aca="false">Calc!AV17</f>
        <v>16</v>
      </c>
      <c r="D17" s="13" t="n">
        <f aca="false">Calc!AW17</f>
        <v>17</v>
      </c>
      <c r="E17" s="13" t="n">
        <f aca="false">Calc!AX17</f>
        <v>16</v>
      </c>
      <c r="F17" s="13" t="n">
        <f aca="false">MAX(C17:E17)-MIN(C17:E17)</f>
        <v>1</v>
      </c>
    </row>
    <row r="18" customFormat="false" ht="15" hidden="false" customHeight="false" outlineLevel="0" collapsed="false">
      <c r="A18" s="13" t="str">
        <f aca="false">Calc!A18</f>
        <v>ORG-725</v>
      </c>
      <c r="B18" s="13" t="str">
        <f aca="false">Calc!B18</f>
        <v>Boreal Power Systems Ltd.</v>
      </c>
      <c r="C18" s="13" t="n">
        <f aca="false">Calc!AV18</f>
        <v>17</v>
      </c>
      <c r="D18" s="13" t="n">
        <f aca="false">Calc!AW18</f>
        <v>15</v>
      </c>
      <c r="E18" s="13" t="n">
        <f aca="false">Calc!AX18</f>
        <v>15</v>
      </c>
      <c r="F18" s="13" t="n">
        <f aca="false">MAX(C18:E18)-MIN(C18:E18)</f>
        <v>2</v>
      </c>
    </row>
    <row r="19" customFormat="false" ht="15" hidden="false" customHeight="false" outlineLevel="0" collapsed="false">
      <c r="A19" s="13" t="str">
        <f aca="false">Calc!A19</f>
        <v>ORG-274</v>
      </c>
      <c r="B19" s="13" t="str">
        <f aca="false">Calc!B19</f>
        <v>Pine Thermal Metals Ltd.</v>
      </c>
      <c r="C19" s="13" t="n">
        <f aca="false">Calc!AV19</f>
        <v>18</v>
      </c>
      <c r="D19" s="13" t="n">
        <f aca="false">Calc!AW19</f>
        <v>19</v>
      </c>
      <c r="E19" s="13" t="n">
        <f aca="false">Calc!AX19</f>
        <v>14</v>
      </c>
      <c r="F19" s="13" t="n">
        <f aca="false">MAX(C19:E19)-MIN(C19:E19)</f>
        <v>5</v>
      </c>
    </row>
    <row r="20" customFormat="false" ht="15" hidden="false" customHeight="false" outlineLevel="0" collapsed="false">
      <c r="A20" s="13" t="str">
        <f aca="false">Calc!A20</f>
        <v>ORG-922</v>
      </c>
      <c r="B20" s="13" t="str">
        <f aca="false">Calc!B20</f>
        <v>Delta Capacitor Works Ltd.</v>
      </c>
      <c r="C20" s="13" t="n">
        <f aca="false">Calc!AV20</f>
        <v>19</v>
      </c>
      <c r="D20" s="13" t="n">
        <f aca="false">Calc!AW20</f>
        <v>20</v>
      </c>
      <c r="E20" s="13" t="n">
        <f aca="false">Calc!AX20</f>
        <v>22</v>
      </c>
      <c r="F20" s="13" t="n">
        <f aca="false">MAX(C20:E20)-MIN(C20:E20)</f>
        <v>3</v>
      </c>
    </row>
    <row r="21" customFormat="false" ht="15" hidden="false" customHeight="false" outlineLevel="0" collapsed="false">
      <c r="A21" s="13" t="str">
        <f aca="false">Calc!A21</f>
        <v>ORG-287</v>
      </c>
      <c r="B21" s="13" t="str">
        <f aca="false">Calc!B21</f>
        <v>ForgeLine Enclosures Ltd.</v>
      </c>
      <c r="C21" s="13" t="n">
        <f aca="false">Calc!AV21</f>
        <v>20</v>
      </c>
      <c r="D21" s="13" t="n">
        <f aca="false">Calc!AW21</f>
        <v>21</v>
      </c>
      <c r="E21" s="13" t="n">
        <f aca="false">Calc!AX21</f>
        <v>21</v>
      </c>
      <c r="F21" s="13" t="n">
        <f aca="false">MAX(C21:E21)-MIN(C21:E21)</f>
        <v>1</v>
      </c>
    </row>
    <row r="22" customFormat="false" ht="15" hidden="false" customHeight="false" outlineLevel="0" collapsed="false">
      <c r="A22" s="13" t="str">
        <f aca="false">Calc!A22</f>
        <v>ORG-659</v>
      </c>
      <c r="B22" s="13" t="str">
        <f aca="false">Calc!B22</f>
        <v>Zenith Polymer Ltd.</v>
      </c>
      <c r="C22" s="13" t="n">
        <f aca="false">Calc!AV22</f>
        <v>21</v>
      </c>
      <c r="D22" s="13" t="n">
        <f aca="false">Calc!AW22</f>
        <v>18</v>
      </c>
      <c r="E22" s="13" t="n">
        <f aca="false">Calc!AX22</f>
        <v>20</v>
      </c>
      <c r="F22" s="13" t="n">
        <f aca="false">MAX(C22:E22)-MIN(C22:E22)</f>
        <v>3</v>
      </c>
    </row>
    <row r="23" customFormat="false" ht="15" hidden="false" customHeight="false" outlineLevel="0" collapsed="false">
      <c r="A23" s="13" t="str">
        <f aca="false">Calc!A23</f>
        <v>ORG-103</v>
      </c>
      <c r="B23" s="13" t="str">
        <f aca="false">Calc!B23</f>
        <v>Grove Battery Controls Ltd.</v>
      </c>
      <c r="C23" s="13" t="n">
        <f aca="false">Calc!AV23</f>
        <v>22</v>
      </c>
      <c r="D23" s="13" t="n">
        <f aca="false">Calc!AW23</f>
        <v>22</v>
      </c>
      <c r="E23" s="13" t="n">
        <f aca="false">Calc!AX23</f>
        <v>18</v>
      </c>
      <c r="F23" s="13" t="n">
        <f aca="false">MAX(C23:E23)-MIN(C23:E23)</f>
        <v>4</v>
      </c>
    </row>
    <row r="24" customFormat="false" ht="15" hidden="false" customHeight="false" outlineLevel="0" collapsed="false">
      <c r="A24" s="13" t="str">
        <f aca="false">Calc!A24</f>
        <v>ORG-329</v>
      </c>
      <c r="B24" s="13" t="str">
        <f aca="false">Calc!B24</f>
        <v>Quartz Alloy Ltd.</v>
      </c>
      <c r="C24" s="13" t="n">
        <f aca="false">Calc!AV24</f>
        <v>23</v>
      </c>
      <c r="D24" s="13" t="n">
        <f aca="false">Calc!AW24</f>
        <v>23</v>
      </c>
      <c r="E24" s="13" t="n">
        <f aca="false">Calc!AX24</f>
        <v>23</v>
      </c>
      <c r="F24" s="13" t="n">
        <f aca="false">MAX(C24:E24)-MIN(C24:E24)</f>
        <v>0</v>
      </c>
    </row>
    <row r="25" customFormat="false" ht="15" hidden="false" customHeight="false" outlineLevel="0" collapsed="false">
      <c r="A25" s="13" t="str">
        <f aca="false">Calc!A25</f>
        <v>ORG-176</v>
      </c>
      <c r="B25" s="13" t="str">
        <f aca="false">Calc!B25</f>
        <v>HarborSense Electronics Ltd.</v>
      </c>
      <c r="C25" s="13" t="n">
        <f aca="false">Calc!AV25</f>
        <v>24</v>
      </c>
      <c r="D25" s="13" t="n">
        <f aca="false">Calc!AW25</f>
        <v>24</v>
      </c>
      <c r="E25" s="13" t="n">
        <f aca="false">Calc!AX25</f>
        <v>24</v>
      </c>
      <c r="F25" s="13" t="n">
        <f aca="false">MAX(C25:E25)-MIN(C25:E25)</f>
        <v>0</v>
      </c>
    </row>
    <row r="27" customFormat="false" ht="15" hidden="false" customHeight="false" outlineLevel="0" collapsed="false">
      <c r="A27" s="10"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4" min="3" style="0" width="12"/>
    <col collapsed="false" customWidth="true" hidden="false" outlineLevel="0" max="6" min="5" style="0" width="14"/>
    <col collapsed="false" customWidth="true" hidden="false" outlineLevel="0" max="10" min="7" style="0" width="12"/>
  </cols>
  <sheetData>
    <row r="1" customFormat="false" ht="35.05" hidden="false" customHeight="false" outlineLevel="0" collapsed="false">
      <c r="A1" s="3" t="s">
        <v>3</v>
      </c>
      <c r="B1" s="3" t="s">
        <v>357</v>
      </c>
      <c r="C1" s="3" t="s">
        <v>358</v>
      </c>
      <c r="D1" s="3" t="s">
        <v>359</v>
      </c>
      <c r="E1" s="3" t="s">
        <v>360</v>
      </c>
      <c r="F1" s="3" t="s">
        <v>361</v>
      </c>
      <c r="G1" s="3" t="s">
        <v>362</v>
      </c>
      <c r="H1" s="3" t="s">
        <v>363</v>
      </c>
      <c r="I1" s="3" t="s">
        <v>364</v>
      </c>
      <c r="J1" s="3" t="s">
        <v>365</v>
      </c>
    </row>
    <row r="2" customFormat="false" ht="15" hidden="false" customHeight="false" outlineLevel="0" collapsed="false">
      <c r="A2" s="13" t="s">
        <v>236</v>
      </c>
      <c r="B2" s="13" t="s">
        <v>237</v>
      </c>
      <c r="C2" s="13" t="n">
        <v>2.13</v>
      </c>
      <c r="D2" s="13" t="n">
        <v>2</v>
      </c>
      <c r="E2" s="13" t="n">
        <v>80.9</v>
      </c>
      <c r="F2" s="13" t="n">
        <v>2.3</v>
      </c>
      <c r="G2" s="13" t="n">
        <v>24</v>
      </c>
      <c r="H2" s="13" t="n">
        <v>27</v>
      </c>
      <c r="I2" s="13" t="n">
        <v>30</v>
      </c>
      <c r="J2" s="13" t="n">
        <v>24</v>
      </c>
    </row>
    <row r="3" customFormat="false" ht="15" hidden="false" customHeight="false" outlineLevel="0" collapsed="false">
      <c r="A3" s="13" t="s">
        <v>241</v>
      </c>
      <c r="B3" s="13" t="s">
        <v>242</v>
      </c>
      <c r="C3" s="13" t="n">
        <v>1.54</v>
      </c>
      <c r="D3" s="13" t="n">
        <v>3</v>
      </c>
      <c r="E3" s="13" t="n">
        <v>83.1</v>
      </c>
      <c r="F3" s="13" t="n">
        <v>2.2</v>
      </c>
      <c r="G3" s="13" t="n">
        <v>33</v>
      </c>
      <c r="H3" s="13" t="n">
        <v>31</v>
      </c>
      <c r="I3" s="13" t="n">
        <v>23</v>
      </c>
      <c r="J3" s="13" t="n">
        <v>19</v>
      </c>
    </row>
    <row r="4" customFormat="false" ht="15" hidden="false" customHeight="false" outlineLevel="0" collapsed="false">
      <c r="A4" s="13" t="s">
        <v>229</v>
      </c>
      <c r="B4" s="13" t="s">
        <v>230</v>
      </c>
      <c r="C4" s="13" t="n">
        <v>2.34</v>
      </c>
      <c r="D4" s="13" t="n">
        <v>4</v>
      </c>
      <c r="E4" s="13" t="n">
        <v>83.3</v>
      </c>
      <c r="F4" s="13" t="n">
        <v>-2.3</v>
      </c>
      <c r="G4" s="13" t="n">
        <v>42</v>
      </c>
      <c r="H4" s="13" t="n">
        <v>58</v>
      </c>
      <c r="I4" s="13" t="n">
        <v>62</v>
      </c>
      <c r="J4" s="13" t="n">
        <v>52</v>
      </c>
    </row>
    <row r="5" customFormat="false" ht="15" hidden="false" customHeight="false" outlineLevel="0" collapsed="false">
      <c r="A5" s="13" t="s">
        <v>366</v>
      </c>
      <c r="B5" s="13" t="s">
        <v>367</v>
      </c>
      <c r="C5" s="13" t="n">
        <v>2.04</v>
      </c>
      <c r="D5" s="13" t="n">
        <v>1</v>
      </c>
      <c r="E5" s="13" t="n">
        <v>87.6</v>
      </c>
      <c r="F5" s="13" t="n">
        <v>-1.1</v>
      </c>
      <c r="G5" s="13" t="n">
        <v>45</v>
      </c>
      <c r="H5" s="13" t="n">
        <v>31</v>
      </c>
      <c r="I5" s="13" t="n">
        <v>23</v>
      </c>
      <c r="J5" s="13" t="n">
        <v>19</v>
      </c>
    </row>
    <row r="6" customFormat="false" ht="15" hidden="false" customHeight="false" outlineLevel="0" collapsed="false">
      <c r="A6" s="13" t="s">
        <v>244</v>
      </c>
      <c r="B6" s="13" t="s">
        <v>245</v>
      </c>
      <c r="C6" s="13" t="n">
        <v>1.82</v>
      </c>
      <c r="D6" s="13" t="n">
        <v>1.67</v>
      </c>
      <c r="E6" s="13" t="n">
        <v>86.9</v>
      </c>
      <c r="F6" s="13" t="n">
        <v>2.2</v>
      </c>
      <c r="G6" s="13" t="n">
        <v>51</v>
      </c>
      <c r="H6" s="13" t="n">
        <v>19</v>
      </c>
      <c r="I6" s="13" t="n">
        <v>26</v>
      </c>
      <c r="J6" s="13" t="n">
        <v>25</v>
      </c>
    </row>
    <row r="7" customFormat="false" ht="15" hidden="false" customHeight="false" outlineLevel="0" collapsed="false">
      <c r="A7" s="13" t="s">
        <v>368</v>
      </c>
      <c r="B7" s="13" t="s">
        <v>369</v>
      </c>
      <c r="C7" s="13"/>
      <c r="D7" s="13"/>
      <c r="E7" s="13" t="n">
        <v>83.7</v>
      </c>
      <c r="F7" s="13" t="n">
        <v>2.2</v>
      </c>
      <c r="G7" s="13"/>
      <c r="H7" s="13" t="n">
        <v>27</v>
      </c>
      <c r="I7" s="13" t="n">
        <v>30</v>
      </c>
      <c r="J7" s="13" t="n">
        <v>24</v>
      </c>
    </row>
    <row r="8" customFormat="false" ht="15" hidden="false" customHeight="false" outlineLevel="0" collapsed="false">
      <c r="A8" s="13" t="s">
        <v>239</v>
      </c>
      <c r="B8" s="13" t="s">
        <v>240</v>
      </c>
      <c r="C8" s="13" t="n">
        <v>2.53</v>
      </c>
      <c r="D8" s="13" t="n">
        <v>2.67</v>
      </c>
      <c r="E8" s="13" t="n">
        <v>89.7</v>
      </c>
      <c r="F8" s="13" t="n">
        <v>1.8</v>
      </c>
      <c r="G8" s="13" t="n">
        <v>60</v>
      </c>
      <c r="H8" s="13" t="n">
        <v>67</v>
      </c>
      <c r="I8" s="13" t="n">
        <v>59</v>
      </c>
      <c r="J8" s="13" t="n">
        <v>54</v>
      </c>
    </row>
    <row r="9" customFormat="false" ht="15" hidden="false" customHeight="false" outlineLevel="0" collapsed="false">
      <c r="A9" s="13" t="s">
        <v>246</v>
      </c>
      <c r="B9" s="13" t="s">
        <v>247</v>
      </c>
      <c r="C9" s="13" t="n">
        <v>1.94</v>
      </c>
      <c r="D9" s="13" t="n">
        <v>3.67</v>
      </c>
      <c r="E9" s="13" t="n">
        <v>89.8</v>
      </c>
      <c r="F9" s="13" t="n">
        <v>-0.3</v>
      </c>
      <c r="G9" s="13" t="n">
        <v>69</v>
      </c>
      <c r="H9" s="13" t="n">
        <v>27</v>
      </c>
      <c r="I9" s="13" t="n">
        <v>30</v>
      </c>
      <c r="J9" s="13" t="n">
        <v>24</v>
      </c>
    </row>
    <row r="10" customFormat="false" ht="15" hidden="false" customHeight="false" outlineLevel="0" collapsed="false">
      <c r="A10" s="13" t="s">
        <v>249</v>
      </c>
      <c r="B10" s="13" t="s">
        <v>250</v>
      </c>
      <c r="C10" s="13" t="n">
        <v>1.51</v>
      </c>
      <c r="D10" s="13" t="n">
        <v>1.33</v>
      </c>
      <c r="E10" s="13" t="n">
        <v>78.8</v>
      </c>
      <c r="F10" s="13" t="n">
        <v>-0.9</v>
      </c>
      <c r="G10" s="13" t="n">
        <v>18</v>
      </c>
      <c r="H10" s="13" t="n">
        <v>58</v>
      </c>
      <c r="I10" s="13" t="n">
        <v>62</v>
      </c>
      <c r="J10" s="13" t="n">
        <v>52</v>
      </c>
    </row>
    <row r="11" customFormat="false" ht="15" hidden="false" customHeight="false" outlineLevel="0" collapsed="false">
      <c r="A11" s="13" t="s">
        <v>370</v>
      </c>
      <c r="B11" s="13" t="s">
        <v>371</v>
      </c>
      <c r="C11" s="13" t="n">
        <v>1.68</v>
      </c>
      <c r="D11" s="13" t="n">
        <v>4</v>
      </c>
      <c r="E11" s="13" t="n">
        <v>80.6</v>
      </c>
      <c r="F11" s="13" t="n">
        <v>1.4</v>
      </c>
      <c r="G11" s="13" t="n">
        <v>72</v>
      </c>
      <c r="H11" s="13" t="n">
        <v>34</v>
      </c>
      <c r="I11" s="13" t="n">
        <v>36</v>
      </c>
      <c r="J11" s="13" t="n">
        <v>30</v>
      </c>
    </row>
    <row r="12" customFormat="false" ht="15" hidden="false" customHeight="false" outlineLevel="0" collapsed="false">
      <c r="A12" s="13" t="s">
        <v>252</v>
      </c>
      <c r="B12" s="13" t="s">
        <v>253</v>
      </c>
      <c r="C12" s="13" t="n">
        <v>2.24</v>
      </c>
      <c r="D12" s="13" t="n">
        <v>2.33</v>
      </c>
      <c r="E12" s="13" t="n">
        <v>81.9</v>
      </c>
      <c r="F12" s="13" t="n">
        <v>-0.9</v>
      </c>
      <c r="G12" s="13" t="n">
        <v>27</v>
      </c>
      <c r="H12" s="13" t="n">
        <v>31</v>
      </c>
      <c r="I12" s="13" t="n">
        <v>23</v>
      </c>
      <c r="J12" s="13" t="n">
        <v>19</v>
      </c>
    </row>
    <row r="13" customFormat="false" ht="15" hidden="false" customHeight="false" outlineLevel="0" collapsed="false">
      <c r="A13" s="13" t="s">
        <v>372</v>
      </c>
      <c r="B13" s="13" t="s">
        <v>373</v>
      </c>
      <c r="C13" s="13"/>
      <c r="D13" s="13"/>
      <c r="E13" s="13" t="n">
        <v>82.7</v>
      </c>
      <c r="F13" s="13" t="n">
        <v>2.8</v>
      </c>
      <c r="G13" s="13"/>
      <c r="H13" s="13" t="n">
        <v>34</v>
      </c>
      <c r="I13" s="13" t="n">
        <v>36</v>
      </c>
      <c r="J13" s="13" t="n">
        <v>30</v>
      </c>
    </row>
    <row r="14" customFormat="false" ht="15" hidden="false" customHeight="false" outlineLevel="0" collapsed="false">
      <c r="A14" s="13" t="s">
        <v>218</v>
      </c>
      <c r="B14" s="13" t="s">
        <v>75</v>
      </c>
      <c r="C14" s="13" t="n">
        <v>1.8</v>
      </c>
      <c r="D14" s="13" t="n">
        <v>2.4</v>
      </c>
      <c r="E14" s="13" t="n">
        <v>85.2</v>
      </c>
      <c r="F14" s="13" t="n">
        <v>-8.8</v>
      </c>
      <c r="G14" s="13" t="n">
        <v>36</v>
      </c>
      <c r="H14" s="13" t="n">
        <v>82</v>
      </c>
      <c r="I14" s="13" t="n">
        <v>76</v>
      </c>
      <c r="J14" s="13" t="n">
        <v>71</v>
      </c>
    </row>
    <row r="15" customFormat="false" ht="15" hidden="false" customHeight="false" outlineLevel="0" collapsed="false">
      <c r="A15" s="13" t="s">
        <v>374</v>
      </c>
      <c r="B15" s="13" t="s">
        <v>375</v>
      </c>
      <c r="C15" s="13" t="n">
        <v>2.46</v>
      </c>
      <c r="D15" s="13" t="n">
        <v>3.33</v>
      </c>
      <c r="E15" s="13" t="n">
        <v>85.4</v>
      </c>
      <c r="F15" s="13" t="n">
        <v>-0.6</v>
      </c>
      <c r="G15" s="13" t="n">
        <v>36</v>
      </c>
      <c r="H15" s="13" t="n">
        <v>34</v>
      </c>
      <c r="I15" s="13" t="n">
        <v>36</v>
      </c>
      <c r="J15" s="13" t="n">
        <v>30</v>
      </c>
    </row>
    <row r="16" customFormat="false" ht="15" hidden="false" customHeight="false" outlineLevel="0" collapsed="false">
      <c r="A16" s="13" t="s">
        <v>212</v>
      </c>
      <c r="B16" s="13" t="s">
        <v>51</v>
      </c>
      <c r="C16" s="13" t="n">
        <v>1.55</v>
      </c>
      <c r="D16" s="13" t="n">
        <v>3.1</v>
      </c>
      <c r="E16" s="13" t="n">
        <v>86.6</v>
      </c>
      <c r="F16" s="13" t="n">
        <v>-6.4</v>
      </c>
      <c r="G16" s="13" t="n">
        <v>45</v>
      </c>
      <c r="H16" s="13" t="n">
        <v>82</v>
      </c>
      <c r="I16" s="13" t="n">
        <v>76</v>
      </c>
      <c r="J16" s="13" t="n">
        <v>71</v>
      </c>
    </row>
    <row r="17" customFormat="false" ht="15" hidden="false" customHeight="false" outlineLevel="0" collapsed="false">
      <c r="A17" s="13" t="s">
        <v>232</v>
      </c>
      <c r="B17" s="13" t="s">
        <v>57</v>
      </c>
      <c r="C17" s="13" t="n">
        <v>1.86</v>
      </c>
      <c r="D17" s="13" t="n">
        <v>2</v>
      </c>
      <c r="E17" s="13" t="n">
        <v>87.3</v>
      </c>
      <c r="F17" s="13" t="n">
        <v>1.6</v>
      </c>
      <c r="G17" s="13" t="n">
        <v>54</v>
      </c>
      <c r="H17" s="13" t="n">
        <v>31</v>
      </c>
      <c r="I17" s="13" t="n">
        <v>23</v>
      </c>
      <c r="J17" s="13" t="n">
        <v>19</v>
      </c>
    </row>
    <row r="18" customFormat="false" ht="15" hidden="false" customHeight="false" outlineLevel="0" collapsed="false">
      <c r="A18" s="13" t="s">
        <v>226</v>
      </c>
      <c r="B18" s="13" t="s">
        <v>81</v>
      </c>
      <c r="C18" s="13" t="n">
        <v>1.37</v>
      </c>
      <c r="D18" s="13" t="n">
        <v>3</v>
      </c>
      <c r="E18" s="13" t="n">
        <v>89.5</v>
      </c>
      <c r="F18" s="13" t="n">
        <v>-0.6</v>
      </c>
      <c r="G18" s="13" t="n">
        <v>63</v>
      </c>
      <c r="H18" s="13" t="n">
        <v>58</v>
      </c>
      <c r="I18" s="13" t="n">
        <v>62</v>
      </c>
      <c r="J18" s="13" t="n">
        <v>52</v>
      </c>
    </row>
    <row r="19" customFormat="false" ht="15" hidden="false" customHeight="false" outlineLevel="0" collapsed="false">
      <c r="A19" s="13" t="s">
        <v>220</v>
      </c>
      <c r="B19" s="13" t="s">
        <v>64</v>
      </c>
      <c r="C19" s="13" t="n">
        <v>0.62</v>
      </c>
      <c r="D19" s="13" t="n">
        <v>7.2</v>
      </c>
      <c r="E19" s="13" t="n">
        <v>76.4</v>
      </c>
      <c r="F19" s="13" t="n">
        <v>-17.6</v>
      </c>
      <c r="G19" s="13" t="n">
        <v>72</v>
      </c>
      <c r="H19" s="13" t="n">
        <v>19</v>
      </c>
      <c r="I19" s="13" t="n">
        <v>26</v>
      </c>
      <c r="J19" s="13" t="n">
        <v>25</v>
      </c>
    </row>
    <row r="20" customFormat="false" ht="15" hidden="false" customHeight="false" outlineLevel="0" collapsed="false">
      <c r="A20" s="13" t="s">
        <v>235</v>
      </c>
      <c r="B20" s="13" t="s">
        <v>67</v>
      </c>
      <c r="C20" s="13" t="n">
        <v>1.54</v>
      </c>
      <c r="D20" s="13" t="n">
        <v>1.67</v>
      </c>
      <c r="E20" s="13" t="n">
        <v>79.3</v>
      </c>
      <c r="F20" s="13" t="n">
        <v>-3.5</v>
      </c>
      <c r="G20" s="13" t="n">
        <v>21</v>
      </c>
      <c r="H20" s="13" t="n">
        <v>67</v>
      </c>
      <c r="I20" s="13" t="n">
        <v>59</v>
      </c>
      <c r="J20" s="13" t="n">
        <v>54</v>
      </c>
    </row>
    <row r="21" customFormat="false" ht="15" hidden="false" customHeight="false" outlineLevel="0" collapsed="false">
      <c r="A21" s="13" t="s">
        <v>219</v>
      </c>
      <c r="B21" s="13" t="s">
        <v>83</v>
      </c>
      <c r="C21" s="13" t="n">
        <v>2.29</v>
      </c>
      <c r="D21" s="13" t="n">
        <v>2.67</v>
      </c>
      <c r="E21" s="13" t="n">
        <v>82.2</v>
      </c>
      <c r="F21" s="13" t="n">
        <v>0.7</v>
      </c>
      <c r="G21" s="13" t="n">
        <v>30</v>
      </c>
      <c r="H21" s="13" t="n">
        <v>82</v>
      </c>
      <c r="I21" s="13" t="n">
        <v>76</v>
      </c>
      <c r="J21" s="13" t="n">
        <v>71</v>
      </c>
    </row>
    <row r="22" customFormat="false" ht="15" hidden="false" customHeight="false" outlineLevel="0" collapsed="false">
      <c r="A22" s="13" t="s">
        <v>243</v>
      </c>
      <c r="B22" s="13" t="s">
        <v>94</v>
      </c>
      <c r="C22" s="13" t="n">
        <v>1.79</v>
      </c>
      <c r="D22" s="13" t="n">
        <v>3.67</v>
      </c>
      <c r="E22" s="13" t="n">
        <v>85.6</v>
      </c>
      <c r="F22" s="13" t="n">
        <v>0.8</v>
      </c>
      <c r="G22" s="13" t="n">
        <v>39</v>
      </c>
      <c r="H22" s="13" t="n">
        <v>67</v>
      </c>
      <c r="I22" s="13" t="n">
        <v>59</v>
      </c>
      <c r="J22" s="13" t="n">
        <v>54</v>
      </c>
    </row>
    <row r="23" customFormat="false" ht="15" hidden="false" customHeight="false" outlineLevel="0" collapsed="false">
      <c r="A23" s="13" t="s">
        <v>251</v>
      </c>
      <c r="B23" s="13" t="s">
        <v>71</v>
      </c>
      <c r="C23" s="13" t="n">
        <v>2.43</v>
      </c>
      <c r="D23" s="13" t="n">
        <v>1.33</v>
      </c>
      <c r="E23" s="13" t="n">
        <v>84.6</v>
      </c>
      <c r="F23" s="13" t="n">
        <v>-2.1</v>
      </c>
      <c r="G23" s="13" t="n">
        <v>48</v>
      </c>
      <c r="H23" s="13" t="n">
        <v>27</v>
      </c>
      <c r="I23" s="13" t="n">
        <v>30</v>
      </c>
      <c r="J23" s="13" t="n">
        <v>24</v>
      </c>
    </row>
    <row r="24" customFormat="false" ht="15" hidden="false" customHeight="false" outlineLevel="0" collapsed="false">
      <c r="A24" s="13" t="s">
        <v>234</v>
      </c>
      <c r="B24" s="13" t="s">
        <v>60</v>
      </c>
      <c r="C24" s="13" t="n">
        <v>2.04</v>
      </c>
      <c r="D24" s="13" t="n">
        <v>2.33</v>
      </c>
      <c r="E24" s="13" t="n">
        <v>89.3</v>
      </c>
      <c r="F24" s="13" t="n">
        <v>0.3</v>
      </c>
      <c r="G24" s="13" t="n">
        <v>57</v>
      </c>
      <c r="H24" s="13" t="n">
        <v>58</v>
      </c>
      <c r="I24" s="13" t="n">
        <v>62</v>
      </c>
      <c r="J24" s="13" t="n">
        <v>52</v>
      </c>
    </row>
    <row r="25" customFormat="false" ht="15" hidden="false" customHeight="false" outlineLevel="0" collapsed="false">
      <c r="A25" s="13" t="s">
        <v>376</v>
      </c>
      <c r="B25" s="13" t="s">
        <v>377</v>
      </c>
      <c r="C25" s="13"/>
      <c r="D25" s="13"/>
      <c r="E25" s="13" t="n">
        <v>91.7</v>
      </c>
      <c r="F25" s="13" t="n">
        <v>-0.3</v>
      </c>
      <c r="G25" s="13"/>
      <c r="H25" s="13" t="n">
        <v>39</v>
      </c>
      <c r="I25" s="13" t="n">
        <v>47</v>
      </c>
      <c r="J25" s="13" t="n">
        <v>41</v>
      </c>
    </row>
    <row r="26" customFormat="false" ht="15" hidden="false" customHeight="false" outlineLevel="0" collapsed="false">
      <c r="A26" s="13" t="s">
        <v>215</v>
      </c>
      <c r="B26" s="13" t="s">
        <v>76</v>
      </c>
      <c r="C26" s="13"/>
      <c r="D26" s="13"/>
      <c r="E26" s="13" t="n">
        <v>80.5</v>
      </c>
      <c r="F26" s="13" t="n">
        <v>-2.2</v>
      </c>
      <c r="G26" s="13"/>
      <c r="H26" s="13" t="n">
        <v>82</v>
      </c>
      <c r="I26" s="13" t="n">
        <v>76</v>
      </c>
      <c r="J26" s="13" t="n">
        <v>71</v>
      </c>
    </row>
    <row r="27" customFormat="false" ht="15" hidden="false" customHeight="false" outlineLevel="0" collapsed="false">
      <c r="A27" s="13" t="s">
        <v>217</v>
      </c>
      <c r="B27" s="13" t="s">
        <v>78</v>
      </c>
      <c r="C27" s="13"/>
      <c r="D27" s="13"/>
      <c r="E27" s="13" t="n">
        <v>81.9</v>
      </c>
      <c r="F27" s="13" t="n">
        <v>-0.9</v>
      </c>
      <c r="G27" s="13"/>
      <c r="H27" s="13" t="n">
        <v>82</v>
      </c>
      <c r="I27" s="13" t="n">
        <v>76</v>
      </c>
      <c r="J27" s="13" t="n">
        <v>71</v>
      </c>
    </row>
    <row r="28" customFormat="false" ht="15" hidden="false" customHeight="false" outlineLevel="0" collapsed="false">
      <c r="A28" s="13" t="s">
        <v>222</v>
      </c>
      <c r="B28" s="13" t="s">
        <v>52</v>
      </c>
      <c r="C28" s="13"/>
      <c r="D28" s="13"/>
      <c r="E28" s="13" t="n">
        <v>87.4</v>
      </c>
      <c r="F28" s="13" t="n">
        <v>1.8</v>
      </c>
      <c r="G28" s="13"/>
      <c r="H28" s="13" t="n">
        <v>67</v>
      </c>
      <c r="I28" s="13" t="n">
        <v>59</v>
      </c>
      <c r="J28" s="13" t="n">
        <v>54</v>
      </c>
    </row>
    <row r="29" customFormat="false" ht="15" hidden="false" customHeight="false" outlineLevel="0" collapsed="false">
      <c r="A29" s="13" t="s">
        <v>224</v>
      </c>
      <c r="B29" s="13" t="s">
        <v>55</v>
      </c>
      <c r="C29" s="13"/>
      <c r="D29" s="13"/>
      <c r="E29" s="13" t="n">
        <v>87.3</v>
      </c>
      <c r="F29" s="13" t="n">
        <v>1.8</v>
      </c>
      <c r="G29" s="13"/>
      <c r="H29" s="13" t="n">
        <v>58</v>
      </c>
      <c r="I29" s="13" t="n">
        <v>62</v>
      </c>
      <c r="J29" s="13" t="n">
        <v>52</v>
      </c>
    </row>
    <row r="30" customFormat="false" ht="15" hidden="false" customHeight="false" outlineLevel="0" collapsed="false">
      <c r="A30" s="13" t="s">
        <v>227</v>
      </c>
      <c r="B30" s="13" t="s">
        <v>84</v>
      </c>
      <c r="C30" s="13"/>
      <c r="D30" s="13"/>
      <c r="E30" s="13" t="n">
        <v>90.1</v>
      </c>
      <c r="F30" s="13" t="n">
        <v>-1.2</v>
      </c>
      <c r="G30" s="13"/>
      <c r="H30" s="13" t="n">
        <v>39</v>
      </c>
      <c r="I30" s="13" t="n">
        <v>47</v>
      </c>
      <c r="J30" s="13" t="n">
        <v>41</v>
      </c>
    </row>
    <row r="31" customFormat="false" ht="15" hidden="false" customHeight="false" outlineLevel="0" collapsed="false">
      <c r="A31" s="13" t="s">
        <v>248</v>
      </c>
      <c r="B31" s="13" t="s">
        <v>65</v>
      </c>
      <c r="C31" s="13"/>
      <c r="D31" s="13"/>
      <c r="E31" s="13" t="n">
        <v>90.9</v>
      </c>
      <c r="F31" s="13" t="n">
        <v>-0.9</v>
      </c>
      <c r="G31" s="13"/>
      <c r="H31" s="13" t="n">
        <v>19</v>
      </c>
      <c r="I31" s="13" t="n">
        <v>26</v>
      </c>
      <c r="J31" s="13" t="n">
        <v>25</v>
      </c>
    </row>
    <row r="33" customFormat="false" ht="15" hidden="false" customHeight="false" outlineLevel="0" collapsed="false">
      <c r="A33" s="1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379</v>
      </c>
    </row>
    <row r="3" customFormat="false" ht="15" hidden="false" customHeight="false" outlineLevel="0" collapsed="false">
      <c r="A3" s="20" t="s">
        <v>380</v>
      </c>
    </row>
    <row r="4" customFormat="false" ht="25.5" hidden="false" customHeight="true" outlineLevel="0" collapsed="false">
      <c r="A4" s="21" t="s">
        <v>381</v>
      </c>
    </row>
    <row r="5" customFormat="false" ht="64.5" hidden="false" customHeight="true" outlineLevel="0" collapsed="false">
      <c r="A5" s="21" t="s">
        <v>382</v>
      </c>
    </row>
    <row r="6" customFormat="false" ht="15" hidden="false" customHeight="false" outlineLevel="0" collapsed="false">
      <c r="A6" s="21"/>
    </row>
    <row r="7" customFormat="false" ht="15" hidden="false" customHeight="false" outlineLevel="0" collapsed="false">
      <c r="A7" s="20" t="s">
        <v>383</v>
      </c>
    </row>
    <row r="8" customFormat="false" ht="51.75" hidden="false" customHeight="true" outlineLevel="0" collapsed="false">
      <c r="A8" s="21" t="s">
        <v>384</v>
      </c>
    </row>
    <row r="9" customFormat="false" ht="25.5" hidden="false" customHeight="true" outlineLevel="0" collapsed="false">
      <c r="A9" s="21" t="s">
        <v>385</v>
      </c>
    </row>
    <row r="10" customFormat="false" ht="64.5" hidden="false" customHeight="true" outlineLevel="0" collapsed="false">
      <c r="A10" s="21" t="s">
        <v>386</v>
      </c>
    </row>
    <row r="11" customFormat="false" ht="25.5" hidden="false" customHeight="true" outlineLevel="0" collapsed="false">
      <c r="A11" s="21" t="s">
        <v>387</v>
      </c>
    </row>
    <row r="12" customFormat="false" ht="25.5" hidden="false" customHeight="true" outlineLevel="0" collapsed="false">
      <c r="A12" s="21" t="s">
        <v>388</v>
      </c>
    </row>
    <row r="13" customFormat="false" ht="39" hidden="false" customHeight="true" outlineLevel="0" collapsed="false">
      <c r="A13" s="21" t="s">
        <v>389</v>
      </c>
    </row>
    <row r="14" customFormat="false" ht="15" hidden="false" customHeight="false" outlineLevel="0" collapsed="false">
      <c r="A14" s="21"/>
    </row>
    <row r="15" customFormat="false" ht="15" hidden="false" customHeight="false" outlineLevel="0" collapsed="false">
      <c r="A15" s="20" t="s">
        <v>390</v>
      </c>
    </row>
    <row r="16" customFormat="false" ht="25.5" hidden="false" customHeight="true" outlineLevel="0" collapsed="false">
      <c r="A16" s="21" t="s">
        <v>391</v>
      </c>
    </row>
    <row r="17" customFormat="false" ht="39" hidden="false" customHeight="true" outlineLevel="0" collapsed="false">
      <c r="A17" s="21" t="s">
        <v>392</v>
      </c>
    </row>
    <row r="18" customFormat="false" ht="25.5" hidden="false" customHeight="true" outlineLevel="0" collapsed="false">
      <c r="A18" s="21" t="s">
        <v>393</v>
      </c>
    </row>
    <row r="19" customFormat="false" ht="12.75" hidden="false" customHeight="true" outlineLevel="0" collapsed="false">
      <c r="A19" s="21" t="s">
        <v>394</v>
      </c>
    </row>
    <row r="20" customFormat="false" ht="15" hidden="false" customHeight="false" outlineLevel="0" collapsed="false">
      <c r="A20" s="21"/>
    </row>
    <row r="21" customFormat="false" ht="15" hidden="false" customHeight="false" outlineLevel="0" collapsed="false">
      <c r="A21" s="20" t="s">
        <v>395</v>
      </c>
    </row>
    <row r="22" customFormat="false" ht="15" hidden="false" customHeight="false" outlineLevel="0" collapsed="false">
      <c r="A22" s="21" t="s">
        <v>396</v>
      </c>
    </row>
    <row r="23" customFormat="false" ht="15" hidden="false" customHeight="false" outlineLevel="0" collapsed="false">
      <c r="A23" s="21" t="s">
        <v>397</v>
      </c>
    </row>
    <row r="24" customFormat="false" ht="15" hidden="false" customHeight="false" outlineLevel="0" collapsed="false">
      <c r="A24" s="21" t="s">
        <v>398</v>
      </c>
    </row>
    <row r="25" customFormat="false" ht="25.5" hidden="false" customHeight="true" outlineLevel="0" collapsed="false">
      <c r="A25" s="21" t="s">
        <v>399</v>
      </c>
    </row>
    <row r="26" customFormat="false" ht="12.75" hidden="false" customHeight="true" outlineLevel="0" collapsed="false">
      <c r="A26" s="21"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2026-10-02T21:04:27Z</dcterms:created>
  <dc:creator>openpyxl</dc:creator>
  <dc:description/>
  <dc:language>en-US</dc:language>
  <cp:lastModifiedBy/>
  <dcterms:modified xsi:type="dcterms:W3CDTF">2026-10-02T21:04:27Z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