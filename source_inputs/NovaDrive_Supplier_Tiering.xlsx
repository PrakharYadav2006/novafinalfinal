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Network Links" sheetId="2" state="visible" r:id="rId4"/>
    <sheet name="Tiers by Product" sheetId="3" state="visible" r:id="rId5"/>
    <sheet name="Shared Dependencies" sheetId="4" state="visible" r:id="rId6"/>
    <sheet name="Zone Concentration" sheetId="5" state="visible" r:id="rId7"/>
    <sheet name="Rejected Links" sheetId="6" state="visible" r:id="rId8"/>
    <sheet name="Unresolved" sheetId="7" state="visible" r:id="rId9"/>
    <sheet name="Evidence Row Log" sheetId="8" state="visible" r:id="rId10"/>
    <sheet name="Self-Audit" sheetId="9" state="visible" r:id="rId11"/>
  </sheets>
  <definedNames>
    <definedName function="false" hidden="true" localSheetId="7" name="_xlnm._FilterDatabase" vbProcedure="false">'Evidence Row Log'!$A$1:$H$60</definedName>
    <definedName function="false" hidden="true" localSheetId="1" name="_xlnm._FilterDatabase" vbProcedure="false">'Network Links'!$A$1:$P$33</definedName>
    <definedName function="false" hidden="true" localSheetId="5" name="_xlnm._FilterDatabase" vbProcedure="false">'Rejected Links'!$A$1:$F$10</definedName>
    <definedName function="false" hidden="true" localSheetId="8" name="_xlnm._FilterDatabase" vbProcedure="false">'Self-Audit'!$A$1:$C$33</definedName>
    <definedName function="false" hidden="true" localSheetId="3" name="_xlnm._FilterDatabase" vbProcedure="false">'Shared Dependencies'!$A$1:$I$7</definedName>
    <definedName function="false" hidden="true" localSheetId="2" name="_xlnm._FilterDatabase" vbProcedure="false">'Tiers by Product'!$A$1:$L$73</definedName>
    <definedName function="false" hidden="true" localSheetId="6" name="_xlnm._FilterDatabase" vbProcedure="false">Unresolved!$A$1:$F$12</definedName>
    <definedName function="false" hidden="true" localSheetId="4" name="_xlnm._FilterDatabase" vbProcedure="false">'Zone Concentration'!$A$1:$H$25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<sst xmlns="http://schemas.openxmlformats.org/spreadsheetml/2006/main" count="2307" uniqueCount="792">
  <si>
    <t xml:space="preserve">Project NovaDrive: supplier tiering for P1, P2, P3</t>
  </si>
  <si>
    <t xml:space="preserve">Built only from the supplied workbook (Supplier Universe, Relationship Evidence, Components Context). Business Context used for revenue only.</t>
  </si>
  <si>
    <t xml:space="preserve">Link counts (live formulas over 'Network Links')</t>
  </si>
  <si>
    <t xml:space="preserve">Tier-1 links (seller to NovaDrive)</t>
  </si>
  <si>
    <t xml:space="preserve">Tier-2 links</t>
  </si>
  <si>
    <t xml:space="preserve">Tier-3 links</t>
  </si>
  <si>
    <t xml:space="preserve">Confirmed links</t>
  </si>
  <si>
    <t xml:space="preserve">Inferred links</t>
  </si>
  <si>
    <t xml:space="preserve">Total links</t>
  </si>
  <si>
    <t xml:space="preserve">Product revenue exposed to IonPeak SITE-074 dies (USD m, from Business Context)</t>
  </si>
  <si>
    <t xml:space="preserve">Input: P1 624 + P2 520 + P3 416 from Business Context. Revenue of dependent products, not supplier spend.</t>
  </si>
  <si>
    <t xml:space="preserve">Headline findings</t>
  </si>
  <si>
    <t xml:space="preserve">1. All three products depend on one die source: IonPeak SITE-074 (Z01) sits behind both Aster and Boreal. No second die source is qualified (DOC-078).</t>
  </si>
  <si>
    <t xml:space="preserve">2. Aster and Boreal share one parent, CommonSpan Holdings (DOC-075), and the same three Tier-2 suppliers. Two Tier-1 suppliers, one real source.</t>
  </si>
  <si>
    <t xml:space="preserve">3. Jade Printed Circuits SITE-081 (Z01) is the only qualified substrate source for C10 (all products) and for both B10 suppliers (P3).</t>
  </si>
  <si>
    <t xml:space="preserve">4. Z01 holds five network nodes (IonPeak, Jade PC, Orion, Umber, Verdant-inferred): one regional event can hit several chains at once.</t>
  </si>
  <si>
    <t xml:space="preserve">5. Rejected on evidence: expired Delta housing award, Delta Consumer Plastics, Ion Peak Trading, IonPeak SITE-900, Harbor Freight and OceanLink as suppliers.</t>
  </si>
  <si>
    <t xml:space="preserve">6. Held as hypotheses, not tiered: Solace Optics -&gt; Grove; Alder Bauxite -&gt; Quartz. Verdant -&gt; IonPeak is Inferred only.</t>
  </si>
  <si>
    <t xml:space="preserve">Sheet guide: Network Links (every link with quotes) | Tiers by Product | Shared Dependencies | Zone Concentration | Rejected Links | Unresolved | Evidence Row Log | Self-Audit</t>
  </si>
  <si>
    <t xml:space="preserve">Link ID</t>
  </si>
  <si>
    <t xml:space="preserve">Seller tier</t>
  </si>
  <si>
    <t xml:space="preserve">Seller (legal entity)</t>
  </si>
  <si>
    <t xml:space="preserve">Buyer</t>
  </si>
  <si>
    <t xml:space="preserve">Component / program</t>
  </si>
  <si>
    <t xml:space="preserve">Products reached</t>
  </si>
  <si>
    <t xml:space="preserve">Seller facility (zone)</t>
  </si>
  <si>
    <t xml:space="preserve">Status</t>
  </si>
  <si>
    <t xml:space="preserve">Direct evidence IDs</t>
  </si>
  <si>
    <t xml:space="preserve">Context evidence IDs</t>
  </si>
  <si>
    <t xml:space="preserve"># independent source families (direct)</t>
  </si>
  <si>
    <t xml:space="preserve">Source family IDs</t>
  </si>
  <si>
    <t xml:space="preserve">Evidence dates</t>
  </si>
  <si>
    <t xml:space="preserve">Verbatim quotes</t>
  </si>
  <si>
    <t xml:space="preserve">Reasoning</t>
  </si>
  <si>
    <t xml:space="preserve">Flag</t>
  </si>
  <si>
    <t xml:space="preserve">T1-01</t>
  </si>
  <si>
    <t xml:space="preserve">Tier-1</t>
  </si>
  <si>
    <t xml:space="preserve">Aster Power Assemblies Ltd. (ORG-247)</t>
  </si>
  <si>
    <t xml:space="preserve">NovaDrive Technologies</t>
  </si>
  <si>
    <t xml:space="preserve">M10</t>
  </si>
  <si>
    <t xml:space="preserve">P1, P3</t>
  </si>
  <si>
    <t xml:space="preserve">SITE-018 Aster Works (Z02)</t>
  </si>
  <si>
    <t xml:space="preserve">Confirmed</t>
  </si>
  <si>
    <t xml:space="preserve">DOC-001, DOC-002, SHP-00002</t>
  </si>
  <si>
    <t xml:space="preserve">-</t>
  </si>
  <si>
    <t xml:space="preserve">MANIFEST-BOL-00002, PROG-001, QUAL-001</t>
  </si>
  <si>
    <t xml:space="preserve">2025-02-07, 2025-06-12, 2025-08-14</t>
  </si>
  <si>
    <t xml:space="preserve">[DOC-001] "Aster Power Assemblies Ltd. has been named a production supplier to NovaDrive Technologies for component M10"
[DOC-002] "Aster Power Assemblies Ltd., site SITE-018, as qualified for NovaDrive Technologies Ltd. in the M10 program"
[SHP-00002] "to consignee 'NOVADRIVE TECHNOLOGIES - IMPORT OPERATIONS', origin SITE-018, goods 'M10 /"</t>
  </si>
  <si>
    <t xml:space="preserve">Disclosure + separate qualification register + shipment observation all name Aster Power Assemblies Ltd., M10, SITE-018. Disclosed planning allocation ~60% (not spend or deliveries).</t>
  </si>
  <si>
    <t xml:space="preserve">T1-02</t>
  </si>
  <si>
    <t xml:space="preserve">M20</t>
  </si>
  <si>
    <t xml:space="preserve">P2</t>
  </si>
  <si>
    <t xml:space="preserve">DOC-003, DOC-004</t>
  </si>
  <si>
    <t xml:space="preserve">PROG-002, QUAL-002</t>
  </si>
  <si>
    <t xml:space="preserve">2025-06-12, 2025-08-14</t>
  </si>
  <si>
    <t xml:space="preserve">[DOC-003] "Aster Power Assemblies Ltd. has been named a production supplier to NovaDrive Technologies for component M20"
[DOC-004] "Aster Power Assemblies Ltd., site SITE-018, as qualified for NovaDrive Technologies Ltd. in the M20 program"</t>
  </si>
  <si>
    <t xml:space="preserve">Disclosure + separate qualification register all name Aster Power Assemblies Ltd., M20, SITE-018. Disclosed planning allocation ~70% (not spend or deliveries).</t>
  </si>
  <si>
    <t xml:space="preserve">T1-03</t>
  </si>
  <si>
    <t xml:space="preserve">Boreal Power Systems Ltd. (ORG-725)</t>
  </si>
  <si>
    <t xml:space="preserve">SITE-025 Boreal Works (Z05)</t>
  </si>
  <si>
    <t xml:space="preserve">DOC-005, DOC-006, SHP-00025</t>
  </si>
  <si>
    <t xml:space="preserve">MANIFEST-BOL-00025, PROG-003, QUAL-003</t>
  </si>
  <si>
    <t xml:space="preserve">2025-01-07, 2025-06-12, 2025-08-14</t>
  </si>
  <si>
    <t xml:space="preserve">[DOC-005] "Boreal Power Systems Ltd. has been named a production supplier to NovaDrive Technologies for component M10"
[DOC-006] "Boreal Power Systems Ltd., site SITE-025, as qualified for NovaDrive Technologies Ltd. in the M10 program"
[SHP-00025] "to consignee 'NOVADRIVE TECHNOLOGIES - IMPORT OPERATIONS', origin SITE-025, goods 'M10 /"</t>
  </si>
  <si>
    <t xml:space="preserve">Disclosure + separate qualification register + shipment observation all name Boreal Power Systems Ltd., M10, SITE-025. Disclosed planning allocation ~40% (not spend or deliveries).</t>
  </si>
  <si>
    <t xml:space="preserve">T1-04</t>
  </si>
  <si>
    <t xml:space="preserve">DOC-007, DOC-008</t>
  </si>
  <si>
    <t xml:space="preserve">PROG-004, QUAL-004</t>
  </si>
  <si>
    <t xml:space="preserve">[DOC-007] "Boreal Power Systems Ltd. has been named a production supplier to NovaDrive Technologies for component M20"
[DOC-008] "Boreal Power Systems Ltd., site SITE-025, as qualified for NovaDrive Technologies Ltd. in the M20 program"</t>
  </si>
  <si>
    <t xml:space="preserve">Disclosure + separate qualification register all name Boreal Power Systems Ltd., M20, SITE-025. Disclosed planning allocation ~30% (not spend or deliveries).</t>
  </si>
  <si>
    <t xml:space="preserve">T1-05</t>
  </si>
  <si>
    <t xml:space="preserve">Cobalt Control Electronics Ltd. (ORG-119)</t>
  </si>
  <si>
    <t xml:space="preserve">C10</t>
  </si>
  <si>
    <t xml:space="preserve">P1, P2, P3</t>
  </si>
  <si>
    <t xml:space="preserve">SITE-032 Cobalt Works (Z04)</t>
  </si>
  <si>
    <t xml:space="preserve">DOC-009, DOC-010, SHP-00050</t>
  </si>
  <si>
    <t xml:space="preserve">MANIFEST-BOL-00050, PROG-005, QUAL-005</t>
  </si>
  <si>
    <t xml:space="preserve">[DOC-009] "Cobalt Control Electronics Ltd. has been named a production supplier to NovaDrive Technologies for component C10"
[DOC-010] "Cobalt Control Electronics Ltd., site SITE-032, as qualified for NovaDrive Technologies Ltd. in the C10 program"
[SHP-00050] "to consignee 'NOVADRIVE TECHNOLOGIES - IMPORT OPERATIONS', origin SITE-032, goods 'C10 /"</t>
  </si>
  <si>
    <t xml:space="preserve">Disclosure + separate qualification register + shipment observation all name Cobalt Control Electronics Ltd., C10, SITE-032. Disclosed planning allocation ~100% (not spend or deliveries).</t>
  </si>
  <si>
    <t xml:space="preserve">T1-06</t>
  </si>
  <si>
    <t xml:space="preserve">Delta Capacitor Works Ltd. (ORG-922)</t>
  </si>
  <si>
    <t xml:space="preserve">C20</t>
  </si>
  <si>
    <t xml:space="preserve">P1, P2</t>
  </si>
  <si>
    <t xml:space="preserve">SITE-039 Delta Works (Z03)</t>
  </si>
  <si>
    <t xml:space="preserve">DOC-011, DOC-012, SHP-00062</t>
  </si>
  <si>
    <t xml:space="preserve">MANIFEST-BOL-00062, PROG-006, QUAL-006</t>
  </si>
  <si>
    <t xml:space="preserve">[DOC-011] "Delta Capacitor Works Ltd. has been named a production supplier to NovaDrive Technologies for component C20"
[DOC-012] "Delta Capacitor Works Ltd., site SITE-039, as qualified for NovaDrive Technologies Ltd. in the C20 program"
[SHP-00062] "to consignee 'NOVADRIVE TECHNOLOGIES - IMPORT OPERATIONS', origin SITE-039, goods 'C20 /"</t>
  </si>
  <si>
    <t xml:space="preserve">Disclosure + separate qualification register + shipment observation all name Delta Capacitor Works Ltd., C20, SITE-039. Disclosed planning allocation ~100% (not spend or deliveries).</t>
  </si>
  <si>
    <t xml:space="preserve">T1-07</t>
  </si>
  <si>
    <t xml:space="preserve">Estuary Thermal Systems Ltd. (ORG-786)</t>
  </si>
  <si>
    <t xml:space="preserve">H20</t>
  </si>
  <si>
    <t xml:space="preserve">P2, P3</t>
  </si>
  <si>
    <t xml:space="preserve">SITE-046 Estuary Works (Z06)</t>
  </si>
  <si>
    <t xml:space="preserve">DOC-013, DOC-014</t>
  </si>
  <si>
    <t xml:space="preserve">PROG-007, QUAL-007</t>
  </si>
  <si>
    <t xml:space="preserve">[DOC-013] "Estuary Thermal Systems Ltd. has been named a production supplier to NovaDrive Technologies for component H20"
[DOC-014] "Estuary Thermal Systems Ltd., site SITE-046, as qualified for NovaDrive Technologies Ltd. in the H20 program"</t>
  </si>
  <si>
    <t xml:space="preserve">Disclosure + separate qualification register all name Estuary Thermal Systems Ltd., H20, SITE-046. Disclosed planning allocation ~100% (not spend or deliveries).</t>
  </si>
  <si>
    <t xml:space="preserve">T1-08</t>
  </si>
  <si>
    <t xml:space="preserve">ForgeLine Enclosures Ltd. (ORG-287)</t>
  </si>
  <si>
    <t xml:space="preserve">H10</t>
  </si>
  <si>
    <t xml:space="preserve">P1</t>
  </si>
  <si>
    <t xml:space="preserve">SITE-053 ForgeLine Works (Z02)</t>
  </si>
  <si>
    <t xml:space="preserve">DOC-015, DOC-016</t>
  </si>
  <si>
    <t xml:space="preserve">PROG-008, QUAL-008</t>
  </si>
  <si>
    <t xml:space="preserve">[DOC-015] "ForgeLine Enclosures Ltd. has been named a production supplier to NovaDrive Technologies for component H10"
[DOC-016] "ForgeLine Enclosures Ltd., site SITE-053, as qualified for NovaDrive Technologies Ltd. in the H10 program"</t>
  </si>
  <si>
    <t xml:space="preserve">Disclosure + separate qualification register all name ForgeLine Enclosures Ltd., H10, SITE-053. Disclosed planning allocation ~100% (not spend or deliveries).</t>
  </si>
  <si>
    <t xml:space="preserve">T1-09</t>
  </si>
  <si>
    <t xml:space="preserve">Grove Battery Controls Ltd. (ORG-103)</t>
  </si>
  <si>
    <t xml:space="preserve">B10</t>
  </si>
  <si>
    <t xml:space="preserve">P3</t>
  </si>
  <si>
    <t xml:space="preserve">SITE-060 Grove Works (Z04)</t>
  </si>
  <si>
    <t xml:space="preserve">DOC-017, DOC-018</t>
  </si>
  <si>
    <t xml:space="preserve">PROG-009, QUAL-009</t>
  </si>
  <si>
    <t xml:space="preserve">[DOC-017] "Grove Battery Controls Ltd. has been named a production supplier to NovaDrive Technologies for component B10"
[DOC-018] "Grove Battery Controls Ltd., site SITE-060, as qualified for NovaDrive Technologies Ltd. in the B10 program"</t>
  </si>
  <si>
    <t xml:space="preserve">Disclosure + separate qualification register all name Grove Battery Controls Ltd., B10, SITE-060. Disclosed planning allocation ~80% (not spend or deliveries).</t>
  </si>
  <si>
    <t xml:space="preserve">T1-10</t>
  </si>
  <si>
    <t xml:space="preserve">HarborSense Electronics Ltd. (ORG-176)</t>
  </si>
  <si>
    <t xml:space="preserve">SITE-067 HarborSense Works (Z05)</t>
  </si>
  <si>
    <t xml:space="preserve">DOC-019, DOC-020</t>
  </si>
  <si>
    <t xml:space="preserve">PROG-010, QUAL-010</t>
  </si>
  <si>
    <t xml:space="preserve">[DOC-019] "HarborSense Electronics Ltd. has been named a production supplier to NovaDrive Technologies for component B10"
[DOC-020] "HarborSense Electronics Ltd., site SITE-067, as qualified for NovaDrive Technologies Ltd. in the B10 program"</t>
  </si>
  <si>
    <t xml:space="preserve">Disclosure + separate qualification register all name HarborSense Electronics Ltd., B10, SITE-067. Disclosed planning allocation ~20% (not spend or deliveries).</t>
  </si>
  <si>
    <t xml:space="preserve">T2-01</t>
  </si>
  <si>
    <t xml:space="preserve">Tier-2</t>
  </si>
  <si>
    <t xml:space="preserve">IonPeak Semiconductor Ltd. (ORG-439)</t>
  </si>
  <si>
    <t xml:space="preserve">M10, M20</t>
  </si>
  <si>
    <t xml:space="preserve">SITE-074 IonPeak Works (Z01)</t>
  </si>
  <si>
    <t xml:space="preserve">DOC-021, DOC-078</t>
  </si>
  <si>
    <t xml:space="preserve">DOC-077, SHP-00125</t>
  </si>
  <si>
    <t xml:space="preserve">FAM-DOC-078, PROG-011</t>
  </si>
  <si>
    <t xml:space="preserve">2025-08-14, 2025-09-15</t>
  </si>
  <si>
    <t xml:space="preserve">[DOC-021] "Aster Power Assemblies Ltd. identifies IonPeak Semiconductor Ltd. as an active production input supplier for its M10/M20 programs. The supplied input is power semiconductor dies"
[DOC-078] "use the same qualified IonPeak production die family from SITE-074"</t>
  </si>
  <si>
    <t xml:space="preserve">Aster's own disclosure plus joint technical note (separate source families). Note says no second die source is qualified.</t>
  </si>
  <si>
    <t xml:space="preserve">T2-02</t>
  </si>
  <si>
    <t xml:space="preserve">DOC-023, DOC-078</t>
  </si>
  <si>
    <t xml:space="preserve">DOC-077</t>
  </si>
  <si>
    <t xml:space="preserve">FAM-DOC-078, PROG-012</t>
  </si>
  <si>
    <t xml:space="preserve">[DOC-023] "Boreal Power Systems Ltd. identifies IonPeak Semiconductor Ltd. as an active production input supplier for its M10/M20 programs. The supplied input is power semiconductor dies"
[DOC-078] "No second die source is currently qualified for these programs"</t>
  </si>
  <si>
    <t xml:space="preserve">Boreal's own disclosure plus joint technical note (separate source families).</t>
  </si>
  <si>
    <t xml:space="preserve">T2-03</t>
  </si>
  <si>
    <t xml:space="preserve">Jade Printed Circuits Ltd. (ORG-453)</t>
  </si>
  <si>
    <t xml:space="preserve">SITE-081 Jade Works (Z01)</t>
  </si>
  <si>
    <t xml:space="preserve">DOC-025, DOC-079</t>
  </si>
  <si>
    <t xml:space="preserve">DOC-076</t>
  </si>
  <si>
    <t xml:space="preserve">FAM-DOC-079, PROG-013</t>
  </si>
  <si>
    <t xml:space="preserve">2025-08-14</t>
  </si>
  <si>
    <t xml:space="preserve">[DOC-025] "Cobalt Control Electronics Ltd. identifies Jade Printed Circuits Ltd. as an active production input supplier for its C10 programs. The supplied input is printed circuit substrates"
[DOC-079] "Cobalt C10 programs and Grove/HarborSense B10 programs currently use Jade substrates from SITE-081"</t>
  </si>
  <si>
    <t xml:space="preserve">Entity is Jade Printed Circuits Ltd. (ORG-453, plant SITE-081), not the holding company or HQ site (DOC-076).</t>
  </si>
  <si>
    <t xml:space="preserve">T2-04</t>
  </si>
  <si>
    <t xml:space="preserve">DOC-027, DOC-079</t>
  </si>
  <si>
    <t xml:space="preserve">FAM-DOC-079, PROG-014</t>
  </si>
  <si>
    <t xml:space="preserve">[DOC-027] "Grove Battery Controls Ltd. identifies Jade Printed Circuits Ltd. as an active production input supplier for its B10 programs. The supplied input is printed circuit substrates"
[DOC-079] "no presently qualified independent substrate in the supplied corpus"</t>
  </si>
  <si>
    <t xml:space="preserve">Grove's own disclosure plus technical register note.</t>
  </si>
  <si>
    <t xml:space="preserve">T2-05</t>
  </si>
  <si>
    <t xml:space="preserve">DOC-029, DOC-079</t>
  </si>
  <si>
    <t xml:space="preserve">FAM-DOC-079, PROG-015</t>
  </si>
  <si>
    <t xml:space="preserve">[DOC-029] "HarborSense Electronics Ltd. identifies Jade Printed Circuits Ltd. as an active production input supplier for its B10 programs. The supplied input is printed circuit substrates"
[DOC-079] "Grove/HarborSense B10 programs currently use Jade substrates from SITE-081"</t>
  </si>
  <si>
    <t xml:space="preserve">HarborSense's own disclosure plus technical register note.</t>
  </si>
  <si>
    <t xml:space="preserve">T2-06</t>
  </si>
  <si>
    <t xml:space="preserve">Kestrel Microdevices Ltd. (ORG-728)</t>
  </si>
  <si>
    <t xml:space="preserve">SITE-088 Kestrel Works (Z05)</t>
  </si>
  <si>
    <t xml:space="preserve">DOC-031</t>
  </si>
  <si>
    <t xml:space="preserve">PROG-016</t>
  </si>
  <si>
    <t xml:space="preserve">[DOC-031] "Cobalt Control Electronics Ltd. identifies Kestrel Microdevices Ltd. as an active production input supplier for its C10 programs. The supplied input is microcontrollers"</t>
  </si>
  <si>
    <t xml:space="preserve">Single direct customer disclosure.</t>
  </si>
  <si>
    <t xml:space="preserve">T2-07</t>
  </si>
  <si>
    <t xml:space="preserve">DOC-033</t>
  </si>
  <si>
    <t xml:space="preserve">PROG-017</t>
  </si>
  <si>
    <t xml:space="preserve">[DOC-033] "Grove Battery Controls Ltd. identifies Kestrel Microdevices Ltd. as an active production input supplier for its B10 programs. The supplied input is microcontrollers"</t>
  </si>
  <si>
    <t xml:space="preserve">T2-08</t>
  </si>
  <si>
    <t xml:space="preserve">Lumen Magnetics Ltd. (ORG-942)</t>
  </si>
  <si>
    <t xml:space="preserve">SITE-095 Lumen Works (Z04)</t>
  </si>
  <si>
    <t xml:space="preserve">DOC-035</t>
  </si>
  <si>
    <t xml:space="preserve">PROG-018</t>
  </si>
  <si>
    <t xml:space="preserve">[DOC-035] "Aster Power Assemblies Ltd. identifies Lumen Magnetics Ltd. as an active production input supplier for its M10/M20 programs. The supplied input is magnetic cores"</t>
  </si>
  <si>
    <t xml:space="preserve">T2-09</t>
  </si>
  <si>
    <t xml:space="preserve">DOC-037</t>
  </si>
  <si>
    <t xml:space="preserve">PROG-019</t>
  </si>
  <si>
    <t xml:space="preserve">[DOC-037] "Boreal Power Systems Ltd. identifies Lumen Magnetics Ltd. as an active production input supplier for its M10/M20 programs. The supplied input is magnetic cores"</t>
  </si>
  <si>
    <t xml:space="preserve">T2-10</t>
  </si>
  <si>
    <t xml:space="preserve">Orion Ceramics Ltd. (ORG-708)</t>
  </si>
  <si>
    <t xml:space="preserve">SITE-116 Orion Works (Z01)</t>
  </si>
  <si>
    <t xml:space="preserve">DOC-043</t>
  </si>
  <si>
    <t xml:space="preserve">PROG-022</t>
  </si>
  <si>
    <t xml:space="preserve">[DOC-043] "Aster Power Assemblies Ltd. identifies Orion Ceramics Ltd. as an active production input supplier for its M10/M20 programs. The supplied input is ceramic substrates"</t>
  </si>
  <si>
    <t xml:space="preserve">T2-11</t>
  </si>
  <si>
    <t xml:space="preserve">DOC-045</t>
  </si>
  <si>
    <t xml:space="preserve">PROG-023</t>
  </si>
  <si>
    <t xml:space="preserve">[DOC-045] "Boreal Power Systems Ltd. identifies Orion Ceramics Ltd. as an active production input supplier for its M10/M20 programs. The supplied input is ceramic substrates"</t>
  </si>
  <si>
    <t xml:space="preserve">T2-12</t>
  </si>
  <si>
    <t xml:space="preserve">Meridian Dielectrics Ltd. (ORG-210)</t>
  </si>
  <si>
    <t xml:space="preserve">SITE-102 Meridian Works (Z03)</t>
  </si>
  <si>
    <t xml:space="preserve">DOC-039</t>
  </si>
  <si>
    <t xml:space="preserve">PROG-020</t>
  </si>
  <si>
    <t xml:space="preserve">[DOC-039] "Delta Capacitor Works Ltd. identifies Meridian Dielectrics Ltd. as an active production input supplier for its C20 programs. The supplied input is dielectric film"</t>
  </si>
  <si>
    <t xml:space="preserve">T2-13</t>
  </si>
  <si>
    <t xml:space="preserve">Nacre Foils Ltd. (ORG-849)</t>
  </si>
  <si>
    <t xml:space="preserve">SITE-109 Nacre Works (Z06)</t>
  </si>
  <si>
    <t xml:space="preserve">DOC-041</t>
  </si>
  <si>
    <t xml:space="preserve">PROG-021</t>
  </si>
  <si>
    <t xml:space="preserve">[DOC-041] "Delta Capacitor Works Ltd. identifies Nacre Foils Ltd. as an active production input supplier for its C20 programs. The supplied input is aluminum foil"</t>
  </si>
  <si>
    <t xml:space="preserve">T2-14</t>
  </si>
  <si>
    <t xml:space="preserve">Pine Thermal Metals Ltd. (ORG-274)</t>
  </si>
  <si>
    <t xml:space="preserve">SITE-123 Pine Works (Z06)</t>
  </si>
  <si>
    <t xml:space="preserve">DOC-047</t>
  </si>
  <si>
    <t xml:space="preserve">PROG-024</t>
  </si>
  <si>
    <t xml:space="preserve">[DOC-047] "Estuary Thermal Systems Ltd. identifies Pine Thermal Metals Ltd. as an active production input supplier for its H20 programs. The supplied input is thermal metals"</t>
  </si>
  <si>
    <t xml:space="preserve">T2-15</t>
  </si>
  <si>
    <t xml:space="preserve">Quartz Alloy Ltd. (ORG-329)</t>
  </si>
  <si>
    <t xml:space="preserve">SITE-130 Quartz Works (Z02)</t>
  </si>
  <si>
    <t xml:space="preserve">DOC-049</t>
  </si>
  <si>
    <t xml:space="preserve">PROG-025</t>
  </si>
  <si>
    <t xml:space="preserve">[DOC-049] "ForgeLine Enclosures Ltd. identifies Quartz Alloy Ltd. as an active production input supplier for its H10 programs. The supplied input is aluminum alloy"</t>
  </si>
  <si>
    <t xml:space="preserve">T2-16</t>
  </si>
  <si>
    <t xml:space="preserve">Rill Connectors Ltd. (ORG-469)</t>
  </si>
  <si>
    <t xml:space="preserve">SITE-137 Rill Works (Z04)</t>
  </si>
  <si>
    <t xml:space="preserve">DOC-051</t>
  </si>
  <si>
    <t xml:space="preserve">PROG-026</t>
  </si>
  <si>
    <t xml:space="preserve">[DOC-051] "Cobalt Control Electronics Ltd. identifies Rill Connectors Ltd. as an active production input supplier for its C10 programs. The supplied input is connectors"</t>
  </si>
  <si>
    <t xml:space="preserve">T3-01</t>
  </si>
  <si>
    <t xml:space="preserve">Tier-3</t>
  </si>
  <si>
    <t xml:space="preserve">Umber Silicon Carbide Ltd. (ORG-455)</t>
  </si>
  <si>
    <t xml:space="preserve">SITE-158 Umber Works (Z01)</t>
  </si>
  <si>
    <t xml:space="preserve">DOC-056</t>
  </si>
  <si>
    <t xml:space="preserve">PROG-029</t>
  </si>
  <si>
    <t xml:space="preserve">[DOC-056] "IonPeak Semiconductor Ltd. identifies Umber Silicon Carbide Ltd. as an active production input supplier for its M10/M20 programs. The supplied input is silicon-carbide wafers"</t>
  </si>
  <si>
    <t xml:space="preserve">Single direct disclosure by IonPeak. Sits behind both Aster and Boreal via IonPeak.</t>
  </si>
  <si>
    <t xml:space="preserve">T3-02</t>
  </si>
  <si>
    <t xml:space="preserve">Verdant Process Gases Ltd. (ORG-736)</t>
  </si>
  <si>
    <t xml:space="preserve">SITE-165 Verdant Works (Z01)</t>
  </si>
  <si>
    <t xml:space="preserve">Inferred</t>
  </si>
  <si>
    <t xml:space="preserve">DOC-058</t>
  </si>
  <si>
    <t xml:space="preserve">PROG-030</t>
  </si>
  <si>
    <t xml:space="preserve">[DOC-058] "lists IonPeak Semiconductor Ltd. among industrial customers"</t>
  </si>
  <si>
    <t xml:space="preserve">Supplier-side customer index only: does not allocate purchases or identify the receiving line; the record itself says product and continuity scope require validation.</t>
  </si>
  <si>
    <t xml:space="preserve">Weakest link in the network. Candidate only; scope unvalidated.</t>
  </si>
  <si>
    <t xml:space="preserve">T3-03</t>
  </si>
  <si>
    <t xml:space="preserve">Warden Copper Foil Ltd. (ORG-873)</t>
  </si>
  <si>
    <t xml:space="preserve">C10, B10</t>
  </si>
  <si>
    <t xml:space="preserve">SITE-172 Warden Works (Z06)</t>
  </si>
  <si>
    <t xml:space="preserve">DOC-060</t>
  </si>
  <si>
    <t xml:space="preserve">PROG-031</t>
  </si>
  <si>
    <t xml:space="preserve">[DOC-060] "Jade Printed Circuits Ltd. identifies Warden Copper Foil Ltd. as an active production input supplier for its C10/B10 programs. The supplied input is copper foil"</t>
  </si>
  <si>
    <t xml:space="preserve">Single direct disclosure by Jade Printed Circuits Ltd.</t>
  </si>
  <si>
    <t xml:space="preserve">T3-04</t>
  </si>
  <si>
    <t xml:space="preserve">Xenon Resin Ltd. (ORG-179)</t>
  </si>
  <si>
    <t xml:space="preserve">SITE-179 Xenon Works (Z04)</t>
  </si>
  <si>
    <t xml:space="preserve">DOC-064</t>
  </si>
  <si>
    <t xml:space="preserve">PROG-033</t>
  </si>
  <si>
    <t xml:space="preserve">[DOC-064] "Jade Printed Circuits Ltd. identifies Xenon Resin Ltd. as an active production input supplier for its C10/B10 programs. The supplied input is resin"</t>
  </si>
  <si>
    <t xml:space="preserve">T3-05</t>
  </si>
  <si>
    <t xml:space="preserve">Yarrow Specialty Minerals Ltd. (ORG-520)</t>
  </si>
  <si>
    <t xml:space="preserve">SITE-186 Yarrow Works (Z08)</t>
  </si>
  <si>
    <t xml:space="preserve">DOC-066</t>
  </si>
  <si>
    <t xml:space="preserve">PROG-034</t>
  </si>
  <si>
    <t xml:space="preserve">[DOC-066] "Orion Ceramics Ltd. identifies Yarrow Specialty Minerals Ltd. as an active production input supplier for its M10/M20 programs. The supplied input is specialty minerals"</t>
  </si>
  <si>
    <t xml:space="preserve">Single direct disclosure by Orion Ceramics.</t>
  </si>
  <si>
    <t xml:space="preserve">T3-06</t>
  </si>
  <si>
    <t xml:space="preserve">Zenith Polymer Ltd. (ORG-659)</t>
  </si>
  <si>
    <t xml:space="preserve">SITE-193 Zenith Works (Z03)</t>
  </si>
  <si>
    <t xml:space="preserve">DOC-070</t>
  </si>
  <si>
    <t xml:space="preserve">PROG-036</t>
  </si>
  <si>
    <t xml:space="preserve">[DOC-070] "Meridian Dielectrics Ltd. identifies Zenith Polymer Ltd. as an active production input supplier for its C20 programs. The supplied input is polymer"</t>
  </si>
  <si>
    <t xml:space="preserve">Single direct disclosure by Meridian Dielectrics.</t>
  </si>
  <si>
    <t xml:space="preserve">Product</t>
  </si>
  <si>
    <t xml:space="preserve">Name</t>
  </si>
  <si>
    <t xml:space="preserve">Tier</t>
  </si>
  <si>
    <t xml:space="preserve">Chain component (Tier-1 part)</t>
  </si>
  <si>
    <t xml:space="preserve">Component name</t>
  </si>
  <si>
    <t xml:space="preserve">Entity</t>
  </si>
  <si>
    <t xml:space="preserve">Entity ID</t>
  </si>
  <si>
    <t xml:space="preserve">Facility (zone)</t>
  </si>
  <si>
    <t xml:space="preserve">Sells to</t>
  </si>
  <si>
    <t xml:space="preserve">DriveCore</t>
  </si>
  <si>
    <t xml:space="preserve">Control board</t>
  </si>
  <si>
    <t xml:space="preserve">Cobalt Control Electronics Ltd.</t>
  </si>
  <si>
    <t xml:space="preserve">ORG-119</t>
  </si>
  <si>
    <t xml:space="preserve">SITE-032 (Z04)</t>
  </si>
  <si>
    <t xml:space="preserve">NovaDrive (DriveCore)</t>
  </si>
  <si>
    <t xml:space="preserve">Jade Printed Circuits Ltd.</t>
  </si>
  <si>
    <t xml:space="preserve">ORG-453</t>
  </si>
  <si>
    <t xml:space="preserve">SITE-081 (Z01)</t>
  </si>
  <si>
    <t xml:space="preserve">Kestrel Microdevices Ltd.</t>
  </si>
  <si>
    <t xml:space="preserve">ORG-728</t>
  </si>
  <si>
    <t xml:space="preserve">SITE-088 (Z05)</t>
  </si>
  <si>
    <t xml:space="preserve">Rill Connectors Ltd.</t>
  </si>
  <si>
    <t xml:space="preserve">ORG-469</t>
  </si>
  <si>
    <t xml:space="preserve">SITE-137 (Z04)</t>
  </si>
  <si>
    <t xml:space="preserve">Warden Copper Foil Ltd.</t>
  </si>
  <si>
    <t xml:space="preserve">ORG-873</t>
  </si>
  <si>
    <t xml:space="preserve">SITE-172 (Z06)</t>
  </si>
  <si>
    <t xml:space="preserve">Xenon Resin Ltd.</t>
  </si>
  <si>
    <t xml:space="preserve">ORG-179</t>
  </si>
  <si>
    <t xml:space="preserve">SITE-179 (Z04)</t>
  </si>
  <si>
    <t xml:space="preserve">DC-link capacitor</t>
  </si>
  <si>
    <t xml:space="preserve">Delta Capacitor Works Ltd.</t>
  </si>
  <si>
    <t xml:space="preserve">ORG-922</t>
  </si>
  <si>
    <t xml:space="preserve">SITE-039 (Z03)</t>
  </si>
  <si>
    <t xml:space="preserve">Meridian Dielectrics Ltd.</t>
  </si>
  <si>
    <t xml:space="preserve">ORG-210</t>
  </si>
  <si>
    <t xml:space="preserve">SITE-102 (Z03)</t>
  </si>
  <si>
    <t xml:space="preserve">Nacre Foils Ltd.</t>
  </si>
  <si>
    <t xml:space="preserve">ORG-849</t>
  </si>
  <si>
    <t xml:space="preserve">SITE-109 (Z06)</t>
  </si>
  <si>
    <t xml:space="preserve">Zenith Polymer Ltd.</t>
  </si>
  <si>
    <t xml:space="preserve">ORG-659</t>
  </si>
  <si>
    <t xml:space="preserve">SITE-193 (Z03)</t>
  </si>
  <si>
    <t xml:space="preserve">Protective housing</t>
  </si>
  <si>
    <t xml:space="preserve">ForgeLine Enclosures Ltd.</t>
  </si>
  <si>
    <t xml:space="preserve">ORG-287</t>
  </si>
  <si>
    <t xml:space="preserve">SITE-053 (Z02)</t>
  </si>
  <si>
    <t xml:space="preserve">Quartz Alloy Ltd.</t>
  </si>
  <si>
    <t xml:space="preserve">ORG-329</t>
  </si>
  <si>
    <t xml:space="preserve">SITE-130 (Z02)</t>
  </si>
  <si>
    <t xml:space="preserve">Standard power assembly</t>
  </si>
  <si>
    <t xml:space="preserve">Aster Power Assemblies Ltd.</t>
  </si>
  <si>
    <t xml:space="preserve">ORG-247</t>
  </si>
  <si>
    <t xml:space="preserve">SITE-018 (Z02)</t>
  </si>
  <si>
    <t xml:space="preserve">Boreal Power Systems Ltd.</t>
  </si>
  <si>
    <t xml:space="preserve">ORG-725</t>
  </si>
  <si>
    <t xml:space="preserve">SITE-025 (Z05)</t>
  </si>
  <si>
    <t xml:space="preserve">IonPeak Semiconductor Ltd.</t>
  </si>
  <si>
    <t xml:space="preserve">ORG-439</t>
  </si>
  <si>
    <t xml:space="preserve">SITE-074 (Z01)</t>
  </si>
  <si>
    <t xml:space="preserve">Lumen Magnetics Ltd.</t>
  </si>
  <si>
    <t xml:space="preserve">ORG-942</t>
  </si>
  <si>
    <t xml:space="preserve">SITE-095 (Z04)</t>
  </si>
  <si>
    <t xml:space="preserve">Orion Ceramics Ltd.</t>
  </si>
  <si>
    <t xml:space="preserve">ORG-708</t>
  </si>
  <si>
    <t xml:space="preserve">SITE-116 (Z01)</t>
  </si>
  <si>
    <t xml:space="preserve">Umber Silicon Carbide Ltd.</t>
  </si>
  <si>
    <t xml:space="preserve">ORG-455</t>
  </si>
  <si>
    <t xml:space="preserve">SITE-158 (Z01)</t>
  </si>
  <si>
    <t xml:space="preserve">Verdant Process Gases Ltd.</t>
  </si>
  <si>
    <t xml:space="preserve">ORG-736</t>
  </si>
  <si>
    <t xml:space="preserve">SITE-165 (Z01)</t>
  </si>
  <si>
    <t xml:space="preserve">Yarrow Specialty Minerals Ltd.</t>
  </si>
  <si>
    <t xml:space="preserve">ORG-520</t>
  </si>
  <si>
    <t xml:space="preserve">SITE-186 (Z08)</t>
  </si>
  <si>
    <t xml:space="preserve">ChargeBridge</t>
  </si>
  <si>
    <t xml:space="preserve">NovaDrive (ChargeBridge)</t>
  </si>
  <si>
    <t xml:space="preserve">Cooling assembly</t>
  </si>
  <si>
    <t xml:space="preserve">Estuary Thermal Systems Ltd.</t>
  </si>
  <si>
    <t xml:space="preserve">ORG-786</t>
  </si>
  <si>
    <t xml:space="preserve">SITE-046 (Z06)</t>
  </si>
  <si>
    <t xml:space="preserve">Pine Thermal Metals Ltd.</t>
  </si>
  <si>
    <t xml:space="preserve">ORG-274</t>
  </si>
  <si>
    <t xml:space="preserve">SITE-123 (Z06)</t>
  </si>
  <si>
    <t xml:space="preserve">High-voltage power assembly</t>
  </si>
  <si>
    <t xml:space="preserve">StoreLink</t>
  </si>
  <si>
    <t xml:space="preserve">Battery-monitoring board</t>
  </si>
  <si>
    <t xml:space="preserve">Grove Battery Controls Ltd.</t>
  </si>
  <si>
    <t xml:space="preserve">ORG-103</t>
  </si>
  <si>
    <t xml:space="preserve">SITE-060 (Z04)</t>
  </si>
  <si>
    <t xml:space="preserve">NovaDrive (StoreLink)</t>
  </si>
  <si>
    <t xml:space="preserve">HarborSense Electronics Ltd.</t>
  </si>
  <si>
    <t xml:space="preserve">ORG-176</t>
  </si>
  <si>
    <t xml:space="preserve">SITE-067 (Z05)</t>
  </si>
  <si>
    <t xml:space="preserve">ID</t>
  </si>
  <si>
    <t xml:space="preserve">Priority (analyst view)</t>
  </si>
  <si>
    <t xml:space="preserve">Shared node</t>
  </si>
  <si>
    <t xml:space="preserve">Why it is a hidden concentration</t>
  </si>
  <si>
    <t xml:space="preserve">Components affected</t>
  </si>
  <si>
    <t xml:space="preserve">Products affected / exposure</t>
  </si>
  <si>
    <t xml:space="preserve">Evidence IDs</t>
  </si>
  <si>
    <t xml:space="preserve">Key quote</t>
  </si>
  <si>
    <t xml:space="preserve">S1</t>
  </si>
  <si>
    <t xml:space="preserve">Critical</t>
  </si>
  <si>
    <t xml:space="preserve">IonPeak Semiconductor Ltd. (ORG-439), SITE-074, Z01 (East Delta)</t>
  </si>
  <si>
    <t xml:space="preserve">Single qualified source of power semiconductor dies behind BOTH Tier-1 power-assembly suppliers. The apparent M10/M20 dual-sourcing (Aster 60/40 Boreal for M10; 70/30 for M20) collapses to one die source.</t>
  </si>
  <si>
    <t xml:space="preserve">M10 (P1, P3) and M20 (P2): all three products</t>
  </si>
  <si>
    <t xml:space="preserve">All 3 products. Combined annual product revenue exposed: USD 1,560m (P1 624, P2 520, P3 416). This is revenue of the dependent products, not supplier spend.</t>
  </si>
  <si>
    <t xml:space="preserve">DOC-021, DOC-023, DOC-056, DOC-077, DOC-078, SHP-00125</t>
  </si>
  <si>
    <t xml:space="preserve">"The current M10/M20 programs at both Aster and Boreal use the same qualified IonPeak production die family from SITE-074. No second die source is currently qualified for these programs." (DOC-078)</t>
  </si>
  <si>
    <t xml:space="preserve">S2</t>
  </si>
  <si>
    <t xml:space="preserve">CommonSpan Holdings Ltd. (ORG-268) - common parent of Aster and Boreal</t>
  </si>
  <si>
    <t xml:space="preserve">The two 'competing' Tier-1 power-assembly suppliers are ultimately owned by the same parent, and also share the same three Tier-2 suppliers (IonPeak, Lumen Magnetics, Orion Ceramics). Tier-1 diversification here is in brand only.</t>
  </si>
  <si>
    <t xml:space="preserve">All 3 products (same as S1)</t>
  </si>
  <si>
    <t xml:space="preserve">DOC-075, DOC-021, DOC-023, DOC-035, DOC-037, DOC-043, DOC-045</t>
  </si>
  <si>
    <t xml:space="preserve">"CommonSpan Holdings Ltd. (ORG-268) consolidates Aster Power Assemblies Ltd. and Boreal Power Systems Ltd. as controlled subsidiaries. Separate brands do not imply separate ultimate ownership." (DOC-075)</t>
  </si>
  <si>
    <t xml:space="preserve">Confirmed (ownership statement)</t>
  </si>
  <si>
    <t xml:space="preserve">S3</t>
  </si>
  <si>
    <t xml:space="preserve">High</t>
  </si>
  <si>
    <t xml:space="preserve">Jade Printed Circuits Ltd. (ORG-453), SITE-081, Z01</t>
  </si>
  <si>
    <t xml:space="preserve">Sole currently-qualified substrate source for Cobalt's C10 control board AND for both B10 suppliers (Grove, HarborSense). Cobalt is itself 100% of C10, so C10 is single-chain end to end; the two B10 suppliers also share this one substrate source.</t>
  </si>
  <si>
    <t xml:space="preserve">C10 (P1, P2, P3) and B10 (P3)</t>
  </si>
  <si>
    <t xml:space="preserve">All 3 products via C10; P3 additionally via B10</t>
  </si>
  <si>
    <t xml:space="preserve">DOC-025, DOC-027, DOC-029, DOC-079, DOC-076, DOC-060, DOC-064</t>
  </si>
  <si>
    <t xml:space="preserve">"There is no presently qualified independent substrate in the supplied corpus" (DOC-079)</t>
  </si>
  <si>
    <t xml:space="preserve">S4</t>
  </si>
  <si>
    <t xml:space="preserve">Z01 (East Delta) as a geography</t>
  </si>
  <si>
    <t xml:space="preserve">Five nodes on the network sit in Z01: IonPeak (Tier-2), Jade Printed Circuits (Tier-2), Orion Ceramics (Tier-2), Umber Silicon Carbide (Tier-3) and, as an inferred link, Verdant Process Gases (Tier-3). One regional event could hit power dies, circuit substrates and ceramic substrates at the same time. See 'Zone Concentration'.</t>
  </si>
  <si>
    <t xml:space="preserve">M10, M20, C10, B10</t>
  </si>
  <si>
    <t xml:space="preserve">All 3 products</t>
  </si>
  <si>
    <t xml:space="preserve">DOC-021, DOC-023, DOC-025, DOC-043, DOC-045, DOC-056, DOC-058, DOC-077</t>
  </si>
  <si>
    <t xml:space="preserve">"IonPeak Semiconductor Ltd. manufactures the NovaDrive-relevant production power dies at SITE-074 in East Delta (Z01)." (DOC-077)</t>
  </si>
  <si>
    <t xml:space="preserve">Confirmed (Verdant = Inferred)</t>
  </si>
  <si>
    <t xml:space="preserve">S5</t>
  </si>
  <si>
    <t xml:space="preserve">Medium</t>
  </si>
  <si>
    <t xml:space="preserve">Kestrel Microdevices Ltd. (ORG-728), SITE-088, Z05</t>
  </si>
  <si>
    <t xml:space="preserve">Microcontroller supplier to both Cobalt (C10) and Grove (B10, 80% of B10). P3 depends on Kestrel through two different components. No Kestrel link to HarborSense appears in the data (NOT IN DATA, not evidence of absence).</t>
  </si>
  <si>
    <t xml:space="preserve">C10 (P1, P2, P3), B10 (P3)</t>
  </si>
  <si>
    <t xml:space="preserve">All 3 products via C10; P3 also via B10</t>
  </si>
  <si>
    <t xml:space="preserve">DOC-031, DOC-033</t>
  </si>
  <si>
    <t xml:space="preserve">"The supplied input is microcontrollers, manufactured at SITE-088." (DOC-031, DOC-033)</t>
  </si>
  <si>
    <t xml:space="preserve">S6</t>
  </si>
  <si>
    <t xml:space="preserve">Single-supplier Tier-1 components</t>
  </si>
  <si>
    <t xml:space="preserve">Four components have one disclosed Tier-1 supplier at ~100% of requirement: C10 (Cobalt), C20 (Delta Capacitor Works), H10 (ForgeLine), H20 (Estuary). No second Tier-1 is evidenced in the data.</t>
  </si>
  <si>
    <t xml:space="preserve">C10, C20, H10, H20</t>
  </si>
  <si>
    <t xml:space="preserve">C10: all 3; C20: P1, P2; H10: P1; H20: P2, P3</t>
  </si>
  <si>
    <t xml:space="preserve">DOC-009, DOC-011, DOC-013, DOC-015</t>
  </si>
  <si>
    <t xml:space="preserve">"The disclosed contracted allocation is approximately 100% of NovaDrive requirements for this component; this is a planning allocation, not a purchase ledger" (e.g. DOC-009)</t>
  </si>
  <si>
    <t xml:space="preserve">Confirmed (planning allocation, not spend)</t>
  </si>
  <si>
    <t xml:space="preserve">Zone</t>
  </si>
  <si>
    <t xml:space="preserve">Facility</t>
  </si>
  <si>
    <t xml:space="preserve">Tier(s)</t>
  </si>
  <si>
    <t xml:space="preserve">Link IDs</t>
  </si>
  <si>
    <t xml:space="preserve">Z01</t>
  </si>
  <si>
    <t xml:space="preserve">SITE-074 IonPeak Works</t>
  </si>
  <si>
    <t xml:space="preserve">T2-01, T2-02</t>
  </si>
  <si>
    <t xml:space="preserve">SITE-081 Jade Works</t>
  </si>
  <si>
    <t xml:space="preserve">T2-03, T2-04, T2-05</t>
  </si>
  <si>
    <t xml:space="preserve">SITE-116 Orion Works</t>
  </si>
  <si>
    <t xml:space="preserve">T2-10, T2-11</t>
  </si>
  <si>
    <t xml:space="preserve">SITE-158 Umber Works</t>
  </si>
  <si>
    <t xml:space="preserve">SITE-165 Verdant Works</t>
  </si>
  <si>
    <t xml:space="preserve">Z02</t>
  </si>
  <si>
    <t xml:space="preserve">SITE-018 Aster Works</t>
  </si>
  <si>
    <t xml:space="preserve">T1-01, T1-02</t>
  </si>
  <si>
    <t xml:space="preserve">SITE-053 ForgeLine Works</t>
  </si>
  <si>
    <t xml:space="preserve">SITE-130 Quartz Works</t>
  </si>
  <si>
    <t xml:space="preserve">Z03</t>
  </si>
  <si>
    <t xml:space="preserve">SITE-039 Delta Works</t>
  </si>
  <si>
    <t xml:space="preserve">SITE-102 Meridian Works</t>
  </si>
  <si>
    <t xml:space="preserve">SITE-193 Zenith Works</t>
  </si>
  <si>
    <t xml:space="preserve">Z04</t>
  </si>
  <si>
    <t xml:space="preserve">SITE-032 Cobalt Works</t>
  </si>
  <si>
    <t xml:space="preserve">SITE-060 Grove Works</t>
  </si>
  <si>
    <t xml:space="preserve">SITE-095 Lumen Works</t>
  </si>
  <si>
    <t xml:space="preserve">T2-08, T2-09</t>
  </si>
  <si>
    <t xml:space="preserve">SITE-137 Rill Works</t>
  </si>
  <si>
    <t xml:space="preserve">SITE-179 Xenon Works</t>
  </si>
  <si>
    <t xml:space="preserve">Z05</t>
  </si>
  <si>
    <t xml:space="preserve">SITE-025 Boreal Works</t>
  </si>
  <si>
    <t xml:space="preserve">T1-03, T1-04</t>
  </si>
  <si>
    <t xml:space="preserve">SITE-067 HarborSense Works</t>
  </si>
  <si>
    <t xml:space="preserve">SITE-088 Kestrel Works</t>
  </si>
  <si>
    <t xml:space="preserve">T2-06, T2-07</t>
  </si>
  <si>
    <t xml:space="preserve">Z06</t>
  </si>
  <si>
    <t xml:space="preserve">SITE-046 Estuary Works</t>
  </si>
  <si>
    <t xml:space="preserve">SITE-109 Nacre Works</t>
  </si>
  <si>
    <t xml:space="preserve">SITE-123 Pine Works</t>
  </si>
  <si>
    <t xml:space="preserve">SITE-172 Warden Works</t>
  </si>
  <si>
    <t xml:space="preserve">Z08</t>
  </si>
  <si>
    <t xml:space="preserve">SITE-186 Yarrow Works</t>
  </si>
  <si>
    <t xml:space="preserve">Note: zone codes come from the Supplier Universe 'Facility Zone' column. Only Z01 is named in the data (East Delta, DOC-077); other zone names are NOT IN DATA. Zone-to-event matching is a later step.</t>
  </si>
  <si>
    <t xml:space="preserve">Candidate link or reading</t>
  </si>
  <si>
    <t xml:space="preserve">Reason class</t>
  </si>
  <si>
    <t xml:space="preserve">Why not accepted</t>
  </si>
  <si>
    <t xml:space="preserve">Verbatim quote</t>
  </si>
  <si>
    <t xml:space="preserve">R1</t>
  </si>
  <si>
    <t xml:space="preserve">Delta Capacitor Works Ltd. (ORG-922) -&gt; NovaDrive, housings (H10)</t>
  </si>
  <si>
    <t xml:space="preserve">DOC-080</t>
  </si>
  <si>
    <t xml:space="preserve">Expired</t>
  </si>
  <si>
    <t xml:space="preserve">Housing pilot ended 31 Dec 2023; record status 'Expired'. Not a current H10 link. P1 H10 Tier-1 remains ForgeLine only.</t>
  </si>
  <si>
    <t xml:space="preserve">"That housing program ended on 31 December 2023."</t>
  </si>
  <si>
    <t xml:space="preserve">R2</t>
  </si>
  <si>
    <t xml:space="preserve">Delta Consumer Plastics Ltd. (ORG-857) -&gt; NovaDrive</t>
  </si>
  <si>
    <t xml:space="preserve">DOC-084, SHP-00438</t>
  </si>
  <si>
    <t xml:space="preserve">Entity mismatch / not a supply award</t>
  </si>
  <si>
    <t xml:space="preserve">Name similarity to Delta Capacitor Works only. 2024 memo was trial retail packaging that never converted to supply; the shipment goes to an unrelated customer. Both firms also have a facility called 'Delta Works' (SITE-039 vs SITE-249): use Site IDs.</t>
  </si>
  <si>
    <t xml:space="preserve">"The trial did not convert to a supply award." (DOC-084)</t>
  </si>
  <si>
    <t xml:space="preserve">R3</t>
  </si>
  <si>
    <t xml:space="preserve">Ion Peak Trading Ltd. (ORG-309) as IonPeak Semiconductor</t>
  </si>
  <si>
    <t xml:space="preserve">Entity mismatch</t>
  </si>
  <si>
    <t xml:space="preserve">Unrelated broker (REG-NO-4128), not a subsidiary of IonPeak Semiconductor Ltd. (ORG-439). Not used as a supply node.</t>
  </si>
  <si>
    <t xml:space="preserve">"Ion Peak Trading Ltd., registry REG-NO-4128, is an unrelated broker, not a subsidiary of IonPeak Semiconductor."</t>
  </si>
  <si>
    <t xml:space="preserve">R4</t>
  </si>
  <si>
    <t xml:space="preserve">IonPeak SITE-900 (Western Development Center, Z05) as a die source</t>
  </si>
  <si>
    <t xml:space="preserve">Wrong facility</t>
  </si>
  <si>
    <t xml:space="preserve">Research/pilot facility on a different process; 'not a qualified replacement'. All qualified dies come from SITE-074.</t>
  </si>
  <si>
    <t xml:space="preserve">"SITE-900 in Western Ridge is a research and pilot facility using a different process."</t>
  </si>
  <si>
    <t xml:space="preserve">R5</t>
  </si>
  <si>
    <t xml:space="preserve">Harbor Freight Services Ltd. (ORG-328) as a tiered supplier</t>
  </si>
  <si>
    <t xml:space="preserve">DOC-083, SHP-00125</t>
  </si>
  <si>
    <t xml:space="preserve">Wrong entity role</t>
  </si>
  <si>
    <t xml:space="preserve">Consolidator/notify party, not a manufacturer. SHP-00125 shows it forwarding 'Power semiconductor dies' to Aster; this is logistics corroboration that dies reach Aster, not a supplier tier. Its facility is also named 'Harbor Works' (SITE-242), the same name as NovaDrive's own plant in Business Context: do not conflate.</t>
  </si>
  <si>
    <t xml:space="preserve">"It does not manufacture the listed electronics."</t>
  </si>
  <si>
    <t xml:space="preserve">R6</t>
  </si>
  <si>
    <t xml:space="preserve">OceanLink Ports as a supplier</t>
  </si>
  <si>
    <t xml:space="preserve">DOC-083</t>
  </si>
  <si>
    <t xml:space="preserve">Terminal operator; not in the Supplier Universe; not a component manufacturer.</t>
  </si>
  <si>
    <t xml:space="preserve">"OceanLink Ports operates a terminal"</t>
  </si>
  <si>
    <t xml:space="preserve">R7</t>
  </si>
  <si>
    <t xml:space="preserve">CommonSpan Holdings Ltd. (ORG-268) as a supplier node</t>
  </si>
  <si>
    <t xml:space="preserve">DOC-075</t>
  </si>
  <si>
    <t xml:space="preserve">Holding company; ownership statement only. Used as an ownership overlay (S2), not a tier.</t>
  </si>
  <si>
    <t xml:space="preserve">"This is an ownership statement, not a statement that CommonSpan manufactures or supplies components."</t>
  </si>
  <si>
    <t xml:space="preserve">R8</t>
  </si>
  <si>
    <t xml:space="preserve">Jade Circuits Holdings Ltd. (ORG-445) / SITE-901 as the substrate supplier</t>
  </si>
  <si>
    <t xml:space="preserve">Wrong legal entity / facility</t>
  </si>
  <si>
    <t xml:space="preserve">Accounting parent and registered HQ; does not manufacture substrates. The supplying entity is Jade Printed Circuits Ltd. (ORG-453) at SITE-081 (Z01), not Z07.</t>
  </si>
  <si>
    <t xml:space="preserve">"SITE-901 in Z07 is the registered headquarters and does not manufacture circuit substrates."</t>
  </si>
  <si>
    <t xml:space="preserve">R9</t>
  </si>
  <si>
    <t xml:space="preserve">Aster/Boreal as independent die sources for each other</t>
  </si>
  <si>
    <t xml:space="preserve">DOC-078</t>
  </si>
  <si>
    <t xml:space="preserve">Not independent</t>
  </si>
  <si>
    <t xml:space="preserve">Both use the same IonPeak die family from SITE-074, so a second module assembler adds no die independence.</t>
  </si>
  <si>
    <t xml:space="preserve">"A different module assembler therefore does not provide independent die supply."</t>
  </si>
  <si>
    <t xml:space="preserve">Item</t>
  </si>
  <si>
    <t xml:space="preserve">What the data does and does not say</t>
  </si>
  <si>
    <t xml:space="preserve">What would settle it</t>
  </si>
  <si>
    <t xml:space="preserve">U1</t>
  </si>
  <si>
    <t xml:space="preserve">Verdant Process Gases -&gt; IonPeak Semiconductor (Tier-3)</t>
  </si>
  <si>
    <t xml:space="preserve">Customer index mentions M10/M20 applications but does not identify the receiving line or purchase allocation. Product and continuity scope need validation.</t>
  </si>
  <si>
    <t xml:space="preserve">Direct IonPeak disclosure or a shipment record naming Verdant/IonPeak with component scope.</t>
  </si>
  <si>
    <t xml:space="preserve">U2</t>
  </si>
  <si>
    <t xml:space="preserve">Solace Optics -&gt; Grove Battery Controls (B10, P3)</t>
  </si>
  <si>
    <t xml:space="preserve">Hypothesis</t>
  </si>
  <si>
    <t xml:space="preserve">DOC-085</t>
  </si>
  <si>
    <t xml:space="preserve">Sample evaluation only; no serial-production award; 'should not assert a confirmed supply relationship'. Not placed in any tier.</t>
  </si>
  <si>
    <t xml:space="preserve">A production award or qualification record.</t>
  </si>
  <si>
    <t xml:space="preserve">U3</t>
  </si>
  <si>
    <t xml:space="preserve">Alder Bauxite -&gt; Quartz Alloy (H10 upstream, P1)</t>
  </si>
  <si>
    <t xml:space="preserve">DOC-074, DOC-086</t>
  </si>
  <si>
    <t xml:space="preserve">Trade-directory co-membership only; 'research lead only'. Alder Bauxite is not in the Supplier Universe. Quartz does not identify its bauxite sources. Tier-3 for H10 is NOT IN DATA.</t>
  </si>
  <si>
    <t xml:space="preserve">A purchase or supply statement naming both entities.</t>
  </si>
  <si>
    <t xml:space="preserve">U4</t>
  </si>
  <si>
    <t xml:space="preserve">Kestrel Microdevices -&gt; HarborSense Electronics (B10)</t>
  </si>
  <si>
    <t xml:space="preserve">NOT IN DATA</t>
  </si>
  <si>
    <t xml:space="preserve">No record links Kestrel (or any microcontroller source) to HarborSense. Absence of a record is not evidence there is no link.</t>
  </si>
  <si>
    <t xml:space="preserve">HarborSense program disclosure for B10 inputs.</t>
  </si>
  <si>
    <t xml:space="preserve">U5</t>
  </si>
  <si>
    <t xml:space="preserve">Suppliers to Lumen, Kestrel, Nacre, Pine, Rill, Quartz, Umber, Verdant, Warden, Xenon, Yarrow, Zenith</t>
  </si>
  <si>
    <t xml:space="preserve">No evidence rows describe who supplies these entities, so every chain in the data stops at Tier-3 or earlier. Deeper tiers are not assumed.</t>
  </si>
  <si>
    <t xml:space="preserve">Further relationship evidence.</t>
  </si>
  <si>
    <t xml:space="preserve">U6</t>
  </si>
  <si>
    <t xml:space="preserve">Tier-2 links rest on one customer disclosure each (except IonPeak and Jade links)</t>
  </si>
  <si>
    <t xml:space="preserve">Note</t>
  </si>
  <si>
    <t xml:space="preserve">See Network Links</t>
  </si>
  <si>
    <t xml:space="preserve">No qualification register or shipment record independently confirms the other Tier-2 links. They are 'Confirmed' on a direct disclosure, but single-source.</t>
  </si>
  <si>
    <t xml:space="preserve">Second independent source family per link.</t>
  </si>
  <si>
    <t xml:space="preserve">U7</t>
  </si>
  <si>
    <t xml:space="preserve">Allocation percentages (60/40, 70/30, 80/20, 100%)</t>
  </si>
  <si>
    <t xml:space="preserve">DOC-001 to DOC-019</t>
  </si>
  <si>
    <t xml:space="preserve">Disclosed as 'a planning allocation, not a purchase ledger or guarantee of realized deliveries'. No supplier spend or purchase-order history exists in the data.</t>
  </si>
  <si>
    <t xml:space="preserve">Purchase-order or spend data.</t>
  </si>
  <si>
    <t xml:space="preserve">U8</t>
  </si>
  <si>
    <t xml:space="preserve">PolarSwitch as a second die source</t>
  </si>
  <si>
    <t xml:space="preserve">Prospective only</t>
  </si>
  <si>
    <t xml:space="preserve">Named as 'a prospective alternative only'. Not in the Supplier Universe and not qualified. Belongs to the alternate-supplier stage, not the current network.</t>
  </si>
  <si>
    <t xml:space="preserve">Alternate-supplier research (later step).</t>
  </si>
  <si>
    <t xml:space="preserve">U9</t>
  </si>
  <si>
    <t xml:space="preserve">Evidence ID gaps</t>
  </si>
  <si>
    <t xml:space="preserve">Evidence IDs are not contiguous (examples: DOC-022, DOC-024, DOC-026 are absent), so the sheet looks like a selected sample. Missing IDs are not interpreted either way.</t>
  </si>
  <si>
    <t xml:space="preserve">Confirm with case organisers if needed.</t>
  </si>
  <si>
    <t xml:space="preserve">U10</t>
  </si>
  <si>
    <t xml:space="preserve">Facility-name collisions</t>
  </si>
  <si>
    <t xml:space="preserve">Supplier Universe, Business Context</t>
  </si>
  <si>
    <t xml:space="preserve">'Harbor Works' (NovaDrive plant vs Harbor Freight SITE-242), 'Delta Works' (SITE-039 vs SITE-249), 'Jade Works' (SITE-081 vs SITE-214), 'Ion Works' vs 'IonPeak Works'. All matching in this workbook uses Site IDs and ORG IDs, never names.</t>
  </si>
  <si>
    <t xml:space="preserve">U11</t>
  </si>
  <si>
    <t xml:space="preserve">Case cut-off date</t>
  </si>
  <si>
    <t xml:space="preserve">DOC-002 etc.</t>
  </si>
  <si>
    <t xml:space="preserve">Records say 'current at the case cut-off' but the date is not stated. Latest evidence date in the sheet is 2025-09-25 (DOC-085); awards run to 2026-12-31.</t>
  </si>
  <si>
    <t xml:space="preserve">Case cut-off date.</t>
  </si>
  <si>
    <t xml:space="preserve">Evidence ID</t>
  </si>
  <si>
    <t xml:space="preserve">Date</t>
  </si>
  <si>
    <t xml:space="preserve">Type</t>
  </si>
  <si>
    <t xml:space="preserve">Source family</t>
  </si>
  <si>
    <t xml:space="preserve">Record status</t>
  </si>
  <si>
    <t xml:space="preserve">Relevant?</t>
  </si>
  <si>
    <t xml:space="preserve">Role in analysis</t>
  </si>
  <si>
    <t xml:space="preserve">Source sheet row</t>
  </si>
  <si>
    <t xml:space="preserve">DOC-001</t>
  </si>
  <si>
    <t xml:space="preserve">Company program disclosure</t>
  </si>
  <si>
    <t xml:space="preserve">PROG-001</t>
  </si>
  <si>
    <t xml:space="preserve">Current disclosure</t>
  </si>
  <si>
    <t xml:space="preserve">Relevant</t>
  </si>
  <si>
    <t xml:space="preserve">Direct support for T1-01</t>
  </si>
  <si>
    <t xml:space="preserve">DOC-002</t>
  </si>
  <si>
    <t xml:space="preserve">2025-06-12</t>
  </si>
  <si>
    <t xml:space="preserve">Qualification register</t>
  </si>
  <si>
    <t xml:space="preserve">QUAL-001</t>
  </si>
  <si>
    <t xml:space="preserve">DOC-003</t>
  </si>
  <si>
    <t xml:space="preserve">PROG-002</t>
  </si>
  <si>
    <t xml:space="preserve">Direct support for T1-02</t>
  </si>
  <si>
    <t xml:space="preserve">DOC-004</t>
  </si>
  <si>
    <t xml:space="preserve">QUAL-002</t>
  </si>
  <si>
    <t xml:space="preserve">DOC-005</t>
  </si>
  <si>
    <t xml:space="preserve">PROG-003</t>
  </si>
  <si>
    <t xml:space="preserve">Direct support for T1-03</t>
  </si>
  <si>
    <t xml:space="preserve">DOC-006</t>
  </si>
  <si>
    <t xml:space="preserve">QUAL-003</t>
  </si>
  <si>
    <t xml:space="preserve">DOC-007</t>
  </si>
  <si>
    <t xml:space="preserve">PROG-004</t>
  </si>
  <si>
    <t xml:space="preserve">Direct support for T1-04</t>
  </si>
  <si>
    <t xml:space="preserve">DOC-008</t>
  </si>
  <si>
    <t xml:space="preserve">QUAL-004</t>
  </si>
  <si>
    <t xml:space="preserve">DOC-009</t>
  </si>
  <si>
    <t xml:space="preserve">PROG-005</t>
  </si>
  <si>
    <t xml:space="preserve">Direct support for T1-05</t>
  </si>
  <si>
    <t xml:space="preserve">DOC-010</t>
  </si>
  <si>
    <t xml:space="preserve">QUAL-005</t>
  </si>
  <si>
    <t xml:space="preserve">DOC-011</t>
  </si>
  <si>
    <t xml:space="preserve">PROG-006</t>
  </si>
  <si>
    <t xml:space="preserve">Direct support for T1-06</t>
  </si>
  <si>
    <t xml:space="preserve">DOC-012</t>
  </si>
  <si>
    <t xml:space="preserve">QUAL-006</t>
  </si>
  <si>
    <t xml:space="preserve">DOC-013</t>
  </si>
  <si>
    <t xml:space="preserve">PROG-007</t>
  </si>
  <si>
    <t xml:space="preserve">Direct support for T1-07</t>
  </si>
  <si>
    <t xml:space="preserve">DOC-014</t>
  </si>
  <si>
    <t xml:space="preserve">QUAL-007</t>
  </si>
  <si>
    <t xml:space="preserve">DOC-015</t>
  </si>
  <si>
    <t xml:space="preserve">PROG-008</t>
  </si>
  <si>
    <t xml:space="preserve">Direct support for T1-08</t>
  </si>
  <si>
    <t xml:space="preserve">DOC-016</t>
  </si>
  <si>
    <t xml:space="preserve">QUAL-008</t>
  </si>
  <si>
    <t xml:space="preserve">DOC-017</t>
  </si>
  <si>
    <t xml:space="preserve">PROG-009</t>
  </si>
  <si>
    <t xml:space="preserve">Direct support for T1-09</t>
  </si>
  <si>
    <t xml:space="preserve">DOC-018</t>
  </si>
  <si>
    <t xml:space="preserve">QUAL-009</t>
  </si>
  <si>
    <t xml:space="preserve">DOC-019</t>
  </si>
  <si>
    <t xml:space="preserve">PROG-010</t>
  </si>
  <si>
    <t xml:space="preserve">Direct support for T1-10</t>
  </si>
  <si>
    <t xml:space="preserve">DOC-020</t>
  </si>
  <si>
    <t xml:space="preserve">QUAL-010</t>
  </si>
  <si>
    <t xml:space="preserve">DOC-021</t>
  </si>
  <si>
    <t xml:space="preserve">PROG-011</t>
  </si>
  <si>
    <t xml:space="preserve">Direct support for T2-01</t>
  </si>
  <si>
    <t xml:space="preserve">DOC-023</t>
  </si>
  <si>
    <t xml:space="preserve">PROG-012</t>
  </si>
  <si>
    <t xml:space="preserve">Direct support for T2-02</t>
  </si>
  <si>
    <t xml:space="preserve">DOC-025</t>
  </si>
  <si>
    <t xml:space="preserve">PROG-013</t>
  </si>
  <si>
    <t xml:space="preserve">Direct support for T2-03</t>
  </si>
  <si>
    <t xml:space="preserve">DOC-027</t>
  </si>
  <si>
    <t xml:space="preserve">PROG-014</t>
  </si>
  <si>
    <t xml:space="preserve">Direct support for T2-04</t>
  </si>
  <si>
    <t xml:space="preserve">DOC-029</t>
  </si>
  <si>
    <t xml:space="preserve">PROG-015</t>
  </si>
  <si>
    <t xml:space="preserve">Direct support for T2-05</t>
  </si>
  <si>
    <t xml:space="preserve">Direct support for T2-06</t>
  </si>
  <si>
    <t xml:space="preserve">Direct support for T2-07</t>
  </si>
  <si>
    <t xml:space="preserve">Direct support for T2-08</t>
  </si>
  <si>
    <t xml:space="preserve">Direct support for T2-09</t>
  </si>
  <si>
    <t xml:space="preserve">Direct support for T2-12</t>
  </si>
  <si>
    <t xml:space="preserve">Direct support for T2-13</t>
  </si>
  <si>
    <t xml:space="preserve">Direct support for T2-10</t>
  </si>
  <si>
    <t xml:space="preserve">Direct support for T2-11</t>
  </si>
  <si>
    <t xml:space="preserve">Direct support for T2-14</t>
  </si>
  <si>
    <t xml:space="preserve">Direct support for T2-15</t>
  </si>
  <si>
    <t xml:space="preserve">Direct support for T2-16</t>
  </si>
  <si>
    <t xml:space="preserve">Direct support for T3-01</t>
  </si>
  <si>
    <t xml:space="preserve">Customer program index</t>
  </si>
  <si>
    <t xml:space="preserve">Direct support for T3-02</t>
  </si>
  <si>
    <t xml:space="preserve">Direct support for T3-03</t>
  </si>
  <si>
    <t xml:space="preserve">Direct support for T3-04</t>
  </si>
  <si>
    <t xml:space="preserve">Direct support for T3-05</t>
  </si>
  <si>
    <t xml:space="preserve">Direct support for T3-06</t>
  </si>
  <si>
    <t xml:space="preserve">DOC-074</t>
  </si>
  <si>
    <t xml:space="preserve">Trade directory</t>
  </si>
  <si>
    <t xml:space="preserve">PROG-038</t>
  </si>
  <si>
    <t xml:space="preserve">Not accepted</t>
  </si>
  <si>
    <t xml:space="preserve">Trade-directory co-membership; research lead only (U3)</t>
  </si>
  <si>
    <t xml:space="preserve">2025-09-01</t>
  </si>
  <si>
    <t xml:space="preserve">Corporate registry</t>
  </si>
  <si>
    <t xml:space="preserve">FAM-DOC-075</t>
  </si>
  <si>
    <t xml:space="preserve">Context</t>
  </si>
  <si>
    <t xml:space="preserve">Ownership overlay linking Aster and Boreal (S2); not a supply link</t>
  </si>
  <si>
    <t xml:space="preserve">FAM-DOC-076</t>
  </si>
  <si>
    <t xml:space="preserve">Entity/facility clarification for Jade (R8); supports correct node choice | links: T2-03, T2-04, T2-05, T3-03, T3-04</t>
  </si>
  <si>
    <t xml:space="preserve">2025-09-12</t>
  </si>
  <si>
    <t xml:space="preserve">Facility disclosure</t>
  </si>
  <si>
    <t xml:space="preserve">FAM-DOC-077</t>
  </si>
  <si>
    <t xml:space="preserve">Facility/entity clarification for IonPeak; rejects SITE-900 and Ion Peak Trading (R3, R4) | links: T2-01, T2-02</t>
  </si>
  <si>
    <t xml:space="preserve">2025-09-15</t>
  </si>
  <si>
    <t xml:space="preserve">Joint technical statement</t>
  </si>
  <si>
    <t xml:space="preserve">FAM-DOC-078</t>
  </si>
  <si>
    <t xml:space="preserve">Direct support for T2-01; Direct support for T2-02</t>
  </si>
  <si>
    <t xml:space="preserve">DOC-079</t>
  </si>
  <si>
    <t xml:space="preserve">Technical program register</t>
  </si>
  <si>
    <t xml:space="preserve">FAM-DOC-079</t>
  </si>
  <si>
    <t xml:space="preserve">Direct support for T2-03; Direct support for T2-04; Direct support for T2-05</t>
  </si>
  <si>
    <t xml:space="preserve">2022-11-01</t>
  </si>
  <si>
    <t xml:space="preserve">Archive announcement</t>
  </si>
  <si>
    <t xml:space="preserve">FAM-DOC-080</t>
  </si>
  <si>
    <t xml:space="preserve">Rejected</t>
  </si>
  <si>
    <t xml:space="preserve">Expired housing award (R1)</t>
  </si>
  <si>
    <t xml:space="preserve">Logistics directory</t>
  </si>
  <si>
    <t xml:space="preserve">FAM-DOC-083</t>
  </si>
  <si>
    <t xml:space="preserve">Logistics roles, not manufacturers (R5, R6)</t>
  </si>
  <si>
    <t xml:space="preserve">DOC-084</t>
  </si>
  <si>
    <t xml:space="preserve">2025-09-20</t>
  </si>
  <si>
    <t xml:space="preserve">Correction notice</t>
  </si>
  <si>
    <t xml:space="preserve">FAM-DOC-084</t>
  </si>
  <si>
    <t xml:space="preserve">Delta Consumer Plastics unrelated (R2)</t>
  </si>
  <si>
    <t xml:space="preserve">2025-09-25</t>
  </si>
  <si>
    <t xml:space="preserve">Company clarification</t>
  </si>
  <si>
    <t xml:space="preserve">FAM-DOC-085</t>
  </si>
  <si>
    <t xml:space="preserve">Sample evaluation only (U2)</t>
  </si>
  <si>
    <t xml:space="preserve">DOC-086</t>
  </si>
  <si>
    <t xml:space="preserve">Company website excerpt</t>
  </si>
  <si>
    <t xml:space="preserve">FAM-DOC-086</t>
  </si>
  <si>
    <t xml:space="preserve">Quartz upstream unverified (U3)</t>
  </si>
  <si>
    <t xml:space="preserve">SHP-00002</t>
  </si>
  <si>
    <t xml:space="preserve">2025-02-07</t>
  </si>
  <si>
    <t xml:space="preserve">Shipment observation</t>
  </si>
  <si>
    <t xml:space="preserve">MANIFEST-BOL-00002</t>
  </si>
  <si>
    <t xml:space="preserve">Observed record</t>
  </si>
  <si>
    <t xml:space="preserve">SHP-00025</t>
  </si>
  <si>
    <t xml:space="preserve">2025-01-07</t>
  </si>
  <si>
    <t xml:space="preserve">MANIFEST-BOL-00025</t>
  </si>
  <si>
    <t xml:space="preserve">SHP-00050</t>
  </si>
  <si>
    <t xml:space="preserve">MANIFEST-BOL-00050</t>
  </si>
  <si>
    <t xml:space="preserve">SHP-00062</t>
  </si>
  <si>
    <t xml:space="preserve">MANIFEST-BOL-00062</t>
  </si>
  <si>
    <t xml:space="preserve">SHP-00438</t>
  </si>
  <si>
    <t xml:space="preserve">2025-08-10</t>
  </si>
  <si>
    <t xml:space="preserve">OTHER-34-0</t>
  </si>
  <si>
    <t xml:space="preserve">Shipment to unrelated customer (R2)</t>
  </si>
  <si>
    <t xml:space="preserve">SHP-00125</t>
  </si>
  <si>
    <t xml:space="preserve">2025-04-07</t>
  </si>
  <si>
    <t xml:space="preserve">MANIFEST-BOL-00125</t>
  </si>
  <si>
    <t xml:space="preserve">Logistics leg of dies into Aster (R5); corroborates T2-01 only | links: T2-01</t>
  </si>
  <si>
    <t xml:space="preserve">Check</t>
  </si>
  <si>
    <t xml:space="preserve">Result</t>
  </si>
  <si>
    <t xml:space="preserve">Detail</t>
  </si>
  <si>
    <t xml:space="preserve">Every quoted phrase is a verbatim substring of its evidence cell</t>
  </si>
  <si>
    <t xml:space="preserve">PASS</t>
  </si>
  <si>
    <t xml:space="preserve">[]</t>
  </si>
  <si>
    <t xml:space="preserve">Seller facility ID (from Supplier Universe) appears in the cited evidence for each link</t>
  </si>
  <si>
    <t xml:space="preserve">Every seller/buyer ORG ID exists in Supplier Universe</t>
  </si>
  <si>
    <t xml:space="preserve">No expired record is used to support any link</t>
  </si>
  <si>
    <t xml:space="preserve">Every Tier-1 component exists in Components Context</t>
  </si>
  <si>
    <t xml:space="preserve">Disclosed allocations sum to 100% for each multi-supplier component</t>
  </si>
  <si>
    <t xml:space="preserve">{'M10': 100, 'M20': 100, 'C10': 100, 'C20': 100, 'H20': 100, 'H10': 100, 'B10': 100}</t>
  </si>
  <si>
    <t xml:space="preserve">Product revenue figures read from Business Context</t>
  </si>
  <si>
    <t xml:space="preserve">{'P1': 624, 'P2': 520, 'P3': 416}</t>
  </si>
  <si>
    <t xml:space="preserve">Shared-dependency quote verified (S1)</t>
  </si>
  <si>
    <t xml:space="preserve">The current M10/M20 programs at both Aster and Boreal use the same qualified IonPeak production die family from SITE-074. No second die source is currently qualified for these programs</t>
  </si>
  <si>
    <t xml:space="preserve">Shared-dependency evidence IDs exist (S1)</t>
  </si>
  <si>
    <t xml:space="preserve">['DOC-021', 'DOC-023', 'DOC-056', 'DOC-077', 'DOC-078', 'SHP-00125']</t>
  </si>
  <si>
    <t xml:space="preserve">Shared-dependency quote verified (S2)</t>
  </si>
  <si>
    <t xml:space="preserve">CommonSpan Holdings Ltd. (ORG-268) consolidates Aster Power Assemblies Ltd. and Boreal Power Systems Ltd. as controlled subsidiaries. Separate brands do not imply separate ultimate ownership</t>
  </si>
  <si>
    <t xml:space="preserve">Shared-dependency evidence IDs exist (S2)</t>
  </si>
  <si>
    <t xml:space="preserve">['DOC-075', 'DOC-021', 'DOC-023', 'DOC-035', 'DOC-037', 'DOC-043', 'DOC-045']</t>
  </si>
  <si>
    <t xml:space="preserve">Shared-dependency quote verified (S3)</t>
  </si>
  <si>
    <t xml:space="preserve">There is no presently qualified independent substrate in the supplied corpus</t>
  </si>
  <si>
    <t xml:space="preserve">Shared-dependency evidence IDs exist (S3)</t>
  </si>
  <si>
    <t xml:space="preserve">['DOC-025', 'DOC-027', 'DOC-029', 'DOC-079', 'DOC-076', 'DOC-060', 'DOC-064']</t>
  </si>
  <si>
    <t xml:space="preserve">Shared-dependency quote verified (S4)</t>
  </si>
  <si>
    <t xml:space="preserve">IonPeak Semiconductor Ltd. manufactures the NovaDrive-relevant production power dies at SITE-074 in East Delta (Z01)</t>
  </si>
  <si>
    <t xml:space="preserve">Shared-dependency evidence IDs exist (S4)</t>
  </si>
  <si>
    <t xml:space="preserve">['DOC-021', 'DOC-023', 'DOC-025', 'DOC-043', 'DOC-045', 'DOC-056', 'DOC-058', 'DOC-077']</t>
  </si>
  <si>
    <t xml:space="preserve">Shared-dependency quote verified (S5)</t>
  </si>
  <si>
    <t xml:space="preserve">The supplied input is microcontrollers, manufactured at SITE-088</t>
  </si>
  <si>
    <t xml:space="preserve">Shared-dependency evidence IDs exist (S5)</t>
  </si>
  <si>
    <t xml:space="preserve">['DOC-031', 'DOC-033']</t>
  </si>
  <si>
    <t xml:space="preserve">Shared-dependency quote verified (S6)</t>
  </si>
  <si>
    <t xml:space="preserve">The disclosed contracted allocation is approximately 100% of NovaDrive requirements for this component; this is a planning allocation, not a purchase ledger</t>
  </si>
  <si>
    <t xml:space="preserve">Shared-dependency evidence IDs exist (S6)</t>
  </si>
  <si>
    <t xml:space="preserve">['DOC-009', 'DOC-011', 'DOC-013', 'DOC-015']</t>
  </si>
  <si>
    <t xml:space="preserve">Rejected-link quote verified (R1)</t>
  </si>
  <si>
    <t xml:space="preserve">That housing program ended on 31 December 2023.</t>
  </si>
  <si>
    <t xml:space="preserve">Rejected-link quote verified (R2)</t>
  </si>
  <si>
    <t xml:space="preserve">The trial did not convert to a supply award.</t>
  </si>
  <si>
    <t xml:space="preserve">Rejected-link quote verified (R3)</t>
  </si>
  <si>
    <t xml:space="preserve">Ion Peak Trading Ltd., registry REG-NO-4128, is an unrelated broker, not a subsidiary of IonPeak Semiconductor.</t>
  </si>
  <si>
    <t xml:space="preserve">Rejected-link quote verified (R4)</t>
  </si>
  <si>
    <t xml:space="preserve">SITE-900 in Western Ridge is a research and pilot facility using a different process.</t>
  </si>
  <si>
    <t xml:space="preserve">Rejected-link quote verified (R5)</t>
  </si>
  <si>
    <t xml:space="preserve">It does not manufacture the listed electronics.</t>
  </si>
  <si>
    <t xml:space="preserve">Rejected-link quote verified (R6)</t>
  </si>
  <si>
    <t xml:space="preserve">OceanLink Ports operates a terminal</t>
  </si>
  <si>
    <t xml:space="preserve">Rejected-link quote verified (R7)</t>
  </si>
  <si>
    <t xml:space="preserve">This is an ownership statement, not a statement that CommonSpan manufactures or supplies components.</t>
  </si>
  <si>
    <t xml:space="preserve">Rejected-link quote verified (R8)</t>
  </si>
  <si>
    <t xml:space="preserve">SITE-901 in Z07 is the registered headquarters and does not manufacture circuit substrates.</t>
  </si>
  <si>
    <t xml:space="preserve">Rejected-link quote verified (R9)</t>
  </si>
  <si>
    <t xml:space="preserve">A different module assembler therefore does not provide independent die supply.</t>
  </si>
  <si>
    <t xml:space="preserve">Every Relationship Evidence row is classified in the row log</t>
  </si>
  <si>
    <t xml:space="preserve">59</t>
  </si>
  <si>
    <t xml:space="preserve">Evidence rows processed</t>
  </si>
  <si>
    <t xml:space="preserve">59 of 59 rows in Relationship Evidence</t>
  </si>
  <si>
    <t xml:space="preserve">Outside knowledge used</t>
  </si>
  <si>
    <t xml:space="preserve">NO</t>
  </si>
  <si>
    <t xml:space="preserve">Only Supplier Universe, Relationship Evidence, Components Context (and product revenue from Business Context for exposure sizing)</t>
  </si>
  <si>
    <t xml:space="preserve">Links classified</t>
  </si>
  <si>
    <t xml:space="preserve">INFO</t>
  </si>
  <si>
    <t xml:space="preserve">31 Confirmed, 1 Inferred, 0 Hypothesis-tier links (hypotheses are in Unresolved)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</si>
</sst>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12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  <c r="B5" s="2" t="n">
        <f aca="false">COUNTIF('Network Links'!B:B,"Tier-1")</f>
        <v>10</v>
      </c>
    </row>
    <row r="6" customFormat="false" ht="15" hidden="false" customHeight="false" outlineLevel="0" collapsed="false">
      <c r="A6" s="2" t="s">
        <v>4</v>
      </c>
      <c r="B6" s="2" t="n">
        <f aca="false">COUNTIF('Network Links'!B:B,"Tier-2")</f>
        <v>16</v>
      </c>
    </row>
    <row r="7" customFormat="false" ht="15" hidden="false" customHeight="false" outlineLevel="0" collapsed="false">
      <c r="A7" s="2" t="s">
        <v>5</v>
      </c>
      <c r="B7" s="2" t="n">
        <f aca="false">COUNTIF('Network Links'!B:B,"Tier-3")</f>
        <v>6</v>
      </c>
    </row>
    <row r="8" customFormat="false" ht="15" hidden="false" customHeight="false" outlineLevel="0" collapsed="false">
      <c r="A8" s="2" t="s">
        <v>6</v>
      </c>
      <c r="B8" s="2" t="n">
        <f aca="false">COUNTIF('Network Links'!H:H,"Confirmed")</f>
        <v>31</v>
      </c>
    </row>
    <row r="9" customFormat="false" ht="15" hidden="false" customHeight="false" outlineLevel="0" collapsed="false">
      <c r="A9" s="2" t="s">
        <v>7</v>
      </c>
      <c r="B9" s="2" t="n">
        <f aca="false">COUNTIF('Network Links'!H:H,"Inferred")</f>
        <v>1</v>
      </c>
    </row>
    <row r="10" customFormat="false" ht="15" hidden="false" customHeight="false" outlineLevel="0" collapsed="false">
      <c r="A10" s="2" t="s">
        <v>8</v>
      </c>
      <c r="B10" s="2" t="n">
        <f aca="false">B5+B6+B7</f>
        <v>32</v>
      </c>
    </row>
    <row r="12" customFormat="false" ht="15" hidden="false" customHeight="false" outlineLevel="0" collapsed="false">
      <c r="A12" s="2" t="s">
        <v>9</v>
      </c>
      <c r="B12" s="4" t="n">
        <v>1560</v>
      </c>
      <c r="C12" s="2" t="s">
        <v>10</v>
      </c>
    </row>
    <row r="14" customFormat="false" ht="15" hidden="false" customHeight="false" outlineLevel="0" collapsed="false">
      <c r="A14" s="3" t="s">
        <v>11</v>
      </c>
    </row>
    <row r="15" customFormat="false" ht="30" hidden="false" customHeight="true" outlineLevel="0" collapsed="false">
      <c r="A15" s="5" t="s">
        <v>12</v>
      </c>
      <c r="B15" s="5"/>
      <c r="C15" s="5"/>
    </row>
    <row r="16" customFormat="false" ht="30" hidden="false" customHeight="true" outlineLevel="0" collapsed="false">
      <c r="A16" s="5" t="s">
        <v>13</v>
      </c>
      <c r="B16" s="5"/>
      <c r="C16" s="5"/>
    </row>
    <row r="17" customFormat="false" ht="30" hidden="false" customHeight="true" outlineLevel="0" collapsed="false">
      <c r="A17" s="5" t="s">
        <v>14</v>
      </c>
      <c r="B17" s="5"/>
      <c r="C17" s="5"/>
    </row>
    <row r="18" customFormat="false" ht="30" hidden="false" customHeight="true" outlineLevel="0" collapsed="false">
      <c r="A18" s="5" t="s">
        <v>15</v>
      </c>
      <c r="B18" s="5"/>
      <c r="C18" s="5"/>
    </row>
    <row r="19" customFormat="false" ht="30" hidden="false" customHeight="true" outlineLevel="0" collapsed="false">
      <c r="A19" s="5" t="s">
        <v>16</v>
      </c>
      <c r="B19" s="5"/>
      <c r="C19" s="5"/>
    </row>
    <row r="20" customFormat="false" ht="30" hidden="false" customHeight="true" outlineLevel="0" collapsed="false">
      <c r="A20" s="5" t="s">
        <v>17</v>
      </c>
      <c r="B20" s="5"/>
      <c r="C20" s="5"/>
    </row>
    <row r="22" customFormat="false" ht="30" hidden="false" customHeight="true" outlineLevel="0" collapsed="false">
      <c r="A22" s="5" t="s">
        <v>18</v>
      </c>
      <c r="B22" s="5"/>
      <c r="C22" s="5"/>
    </row>
  </sheetData>
  <mergeCells count="7">
    <mergeCell ref="A15:C15"/>
    <mergeCell ref="A16:C16"/>
    <mergeCell ref="A17:C17"/>
    <mergeCell ref="A18:C18"/>
    <mergeCell ref="A19:C19"/>
    <mergeCell ref="A20:C20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4" min="3" style="0" width="3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4" min="14" style="0" width="70"/>
    <col collapsed="false" customWidth="true" hidden="false" outlineLevel="0" max="15" min="15" style="0" width="48"/>
    <col collapsed="false" customWidth="true" hidden="false" outlineLevel="0" max="16" min="16" style="0" width="30"/>
  </cols>
  <sheetData>
    <row r="1" customFormat="false" ht="57.4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  <c r="N1" s="6" t="s">
        <v>32</v>
      </c>
      <c r="O1" s="6" t="s">
        <v>33</v>
      </c>
      <c r="P1" s="6" t="s">
        <v>34</v>
      </c>
    </row>
    <row r="2" customFormat="false" ht="68.65" hidden="false" customHeight="false" outlineLevel="0" collapsed="false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7" t="s">
        <v>41</v>
      </c>
      <c r="H2" s="8" t="s">
        <v>42</v>
      </c>
      <c r="I2" s="7" t="s">
        <v>43</v>
      </c>
      <c r="J2" s="7" t="s">
        <v>44</v>
      </c>
      <c r="K2" s="7" t="n">
        <v>3</v>
      </c>
      <c r="L2" s="7" t="s">
        <v>45</v>
      </c>
      <c r="M2" s="7" t="s">
        <v>46</v>
      </c>
      <c r="N2" s="7" t="s">
        <v>47</v>
      </c>
      <c r="O2" s="7" t="s">
        <v>48</v>
      </c>
      <c r="P2" s="7" t="s">
        <v>44</v>
      </c>
    </row>
    <row r="3" customFormat="false" ht="46.25" hidden="false" customHeight="false" outlineLevel="0" collapsed="false">
      <c r="A3" s="7" t="s">
        <v>49</v>
      </c>
      <c r="B3" s="7" t="s">
        <v>36</v>
      </c>
      <c r="C3" s="7" t="s">
        <v>37</v>
      </c>
      <c r="D3" s="7" t="s">
        <v>38</v>
      </c>
      <c r="E3" s="7" t="s">
        <v>50</v>
      </c>
      <c r="F3" s="7" t="s">
        <v>51</v>
      </c>
      <c r="G3" s="7" t="s">
        <v>41</v>
      </c>
      <c r="H3" s="8" t="s">
        <v>42</v>
      </c>
      <c r="I3" s="7" t="s">
        <v>52</v>
      </c>
      <c r="J3" s="7" t="s">
        <v>44</v>
      </c>
      <c r="K3" s="7" t="n">
        <v>2</v>
      </c>
      <c r="L3" s="7" t="s">
        <v>53</v>
      </c>
      <c r="M3" s="7" t="s">
        <v>54</v>
      </c>
      <c r="N3" s="7" t="s">
        <v>55</v>
      </c>
      <c r="O3" s="7" t="s">
        <v>56</v>
      </c>
      <c r="P3" s="7" t="s">
        <v>44</v>
      </c>
    </row>
    <row r="4" customFormat="false" ht="68.65" hidden="false" customHeight="false" outlineLevel="0" collapsed="false">
      <c r="A4" s="7" t="s">
        <v>57</v>
      </c>
      <c r="B4" s="7" t="s">
        <v>36</v>
      </c>
      <c r="C4" s="7" t="s">
        <v>58</v>
      </c>
      <c r="D4" s="7" t="s">
        <v>38</v>
      </c>
      <c r="E4" s="7" t="s">
        <v>39</v>
      </c>
      <c r="F4" s="7" t="s">
        <v>40</v>
      </c>
      <c r="G4" s="7" t="s">
        <v>59</v>
      </c>
      <c r="H4" s="8" t="s">
        <v>42</v>
      </c>
      <c r="I4" s="7" t="s">
        <v>60</v>
      </c>
      <c r="J4" s="7" t="s">
        <v>44</v>
      </c>
      <c r="K4" s="7" t="n">
        <v>3</v>
      </c>
      <c r="L4" s="7" t="s">
        <v>61</v>
      </c>
      <c r="M4" s="7" t="s">
        <v>62</v>
      </c>
      <c r="N4" s="7" t="s">
        <v>63</v>
      </c>
      <c r="O4" s="7" t="s">
        <v>64</v>
      </c>
      <c r="P4" s="7" t="s">
        <v>44</v>
      </c>
    </row>
    <row r="5" customFormat="false" ht="46.25" hidden="false" customHeight="false" outlineLevel="0" collapsed="false">
      <c r="A5" s="7" t="s">
        <v>65</v>
      </c>
      <c r="B5" s="7" t="s">
        <v>36</v>
      </c>
      <c r="C5" s="7" t="s">
        <v>58</v>
      </c>
      <c r="D5" s="7" t="s">
        <v>38</v>
      </c>
      <c r="E5" s="7" t="s">
        <v>50</v>
      </c>
      <c r="F5" s="7" t="s">
        <v>51</v>
      </c>
      <c r="G5" s="7" t="s">
        <v>59</v>
      </c>
      <c r="H5" s="8" t="s">
        <v>42</v>
      </c>
      <c r="I5" s="7" t="s">
        <v>66</v>
      </c>
      <c r="J5" s="7" t="s">
        <v>44</v>
      </c>
      <c r="K5" s="7" t="n">
        <v>2</v>
      </c>
      <c r="L5" s="7" t="s">
        <v>67</v>
      </c>
      <c r="M5" s="7" t="s">
        <v>54</v>
      </c>
      <c r="N5" s="7" t="s">
        <v>68</v>
      </c>
      <c r="O5" s="7" t="s">
        <v>69</v>
      </c>
      <c r="P5" s="7" t="s">
        <v>44</v>
      </c>
    </row>
    <row r="6" customFormat="false" ht="68.65" hidden="false" customHeight="false" outlineLevel="0" collapsed="false">
      <c r="A6" s="7" t="s">
        <v>70</v>
      </c>
      <c r="B6" s="7" t="s">
        <v>36</v>
      </c>
      <c r="C6" s="7" t="s">
        <v>71</v>
      </c>
      <c r="D6" s="7" t="s">
        <v>38</v>
      </c>
      <c r="E6" s="7" t="s">
        <v>72</v>
      </c>
      <c r="F6" s="7" t="s">
        <v>73</v>
      </c>
      <c r="G6" s="7" t="s">
        <v>74</v>
      </c>
      <c r="H6" s="8" t="s">
        <v>42</v>
      </c>
      <c r="I6" s="7" t="s">
        <v>75</v>
      </c>
      <c r="J6" s="7" t="s">
        <v>44</v>
      </c>
      <c r="K6" s="7" t="n">
        <v>3</v>
      </c>
      <c r="L6" s="7" t="s">
        <v>76</v>
      </c>
      <c r="M6" s="7" t="s">
        <v>46</v>
      </c>
      <c r="N6" s="7" t="s">
        <v>77</v>
      </c>
      <c r="O6" s="7" t="s">
        <v>78</v>
      </c>
      <c r="P6" s="7" t="s">
        <v>44</v>
      </c>
    </row>
    <row r="7" customFormat="false" ht="68.65" hidden="false" customHeight="false" outlineLevel="0" collapsed="false">
      <c r="A7" s="7" t="s">
        <v>79</v>
      </c>
      <c r="B7" s="7" t="s">
        <v>36</v>
      </c>
      <c r="C7" s="7" t="s">
        <v>80</v>
      </c>
      <c r="D7" s="7" t="s">
        <v>38</v>
      </c>
      <c r="E7" s="7" t="s">
        <v>81</v>
      </c>
      <c r="F7" s="7" t="s">
        <v>82</v>
      </c>
      <c r="G7" s="7" t="s">
        <v>83</v>
      </c>
      <c r="H7" s="8" t="s">
        <v>42</v>
      </c>
      <c r="I7" s="7" t="s">
        <v>84</v>
      </c>
      <c r="J7" s="7" t="s">
        <v>44</v>
      </c>
      <c r="K7" s="7" t="n">
        <v>3</v>
      </c>
      <c r="L7" s="7" t="s">
        <v>85</v>
      </c>
      <c r="M7" s="7" t="s">
        <v>46</v>
      </c>
      <c r="N7" s="7" t="s">
        <v>86</v>
      </c>
      <c r="O7" s="7" t="s">
        <v>87</v>
      </c>
      <c r="P7" s="7" t="s">
        <v>44</v>
      </c>
    </row>
    <row r="8" customFormat="false" ht="46.25" hidden="false" customHeight="false" outlineLevel="0" collapsed="false">
      <c r="A8" s="7" t="s">
        <v>88</v>
      </c>
      <c r="B8" s="7" t="s">
        <v>36</v>
      </c>
      <c r="C8" s="7" t="s">
        <v>89</v>
      </c>
      <c r="D8" s="7" t="s">
        <v>38</v>
      </c>
      <c r="E8" s="7" t="s">
        <v>90</v>
      </c>
      <c r="F8" s="7" t="s">
        <v>91</v>
      </c>
      <c r="G8" s="7" t="s">
        <v>92</v>
      </c>
      <c r="H8" s="8" t="s">
        <v>42</v>
      </c>
      <c r="I8" s="7" t="s">
        <v>93</v>
      </c>
      <c r="J8" s="7" t="s">
        <v>44</v>
      </c>
      <c r="K8" s="7" t="n">
        <v>2</v>
      </c>
      <c r="L8" s="7" t="s">
        <v>94</v>
      </c>
      <c r="M8" s="7" t="s">
        <v>54</v>
      </c>
      <c r="N8" s="7" t="s">
        <v>95</v>
      </c>
      <c r="O8" s="7" t="s">
        <v>96</v>
      </c>
      <c r="P8" s="7" t="s">
        <v>44</v>
      </c>
    </row>
    <row r="9" customFormat="false" ht="46.25" hidden="false" customHeight="false" outlineLevel="0" collapsed="false">
      <c r="A9" s="7" t="s">
        <v>97</v>
      </c>
      <c r="B9" s="7" t="s">
        <v>36</v>
      </c>
      <c r="C9" s="7" t="s">
        <v>98</v>
      </c>
      <c r="D9" s="7" t="s">
        <v>38</v>
      </c>
      <c r="E9" s="7" t="s">
        <v>99</v>
      </c>
      <c r="F9" s="7" t="s">
        <v>100</v>
      </c>
      <c r="G9" s="7" t="s">
        <v>101</v>
      </c>
      <c r="H9" s="8" t="s">
        <v>42</v>
      </c>
      <c r="I9" s="7" t="s">
        <v>102</v>
      </c>
      <c r="J9" s="7" t="s">
        <v>44</v>
      </c>
      <c r="K9" s="7" t="n">
        <v>2</v>
      </c>
      <c r="L9" s="7" t="s">
        <v>103</v>
      </c>
      <c r="M9" s="7" t="s">
        <v>54</v>
      </c>
      <c r="N9" s="7" t="s">
        <v>104</v>
      </c>
      <c r="O9" s="7" t="s">
        <v>105</v>
      </c>
      <c r="P9" s="7" t="s">
        <v>44</v>
      </c>
    </row>
    <row r="10" customFormat="false" ht="46.25" hidden="false" customHeight="false" outlineLevel="0" collapsed="false">
      <c r="A10" s="7" t="s">
        <v>106</v>
      </c>
      <c r="B10" s="7" t="s">
        <v>36</v>
      </c>
      <c r="C10" s="7" t="s">
        <v>107</v>
      </c>
      <c r="D10" s="7" t="s">
        <v>38</v>
      </c>
      <c r="E10" s="7" t="s">
        <v>108</v>
      </c>
      <c r="F10" s="7" t="s">
        <v>109</v>
      </c>
      <c r="G10" s="7" t="s">
        <v>110</v>
      </c>
      <c r="H10" s="8" t="s">
        <v>42</v>
      </c>
      <c r="I10" s="7" t="s">
        <v>111</v>
      </c>
      <c r="J10" s="7" t="s">
        <v>44</v>
      </c>
      <c r="K10" s="7" t="n">
        <v>2</v>
      </c>
      <c r="L10" s="7" t="s">
        <v>112</v>
      </c>
      <c r="M10" s="7" t="s">
        <v>54</v>
      </c>
      <c r="N10" s="7" t="s">
        <v>113</v>
      </c>
      <c r="O10" s="7" t="s">
        <v>114</v>
      </c>
      <c r="P10" s="7" t="s">
        <v>44</v>
      </c>
    </row>
    <row r="11" customFormat="false" ht="46.25" hidden="false" customHeight="false" outlineLevel="0" collapsed="false">
      <c r="A11" s="7" t="s">
        <v>115</v>
      </c>
      <c r="B11" s="7" t="s">
        <v>36</v>
      </c>
      <c r="C11" s="7" t="s">
        <v>116</v>
      </c>
      <c r="D11" s="7" t="s">
        <v>38</v>
      </c>
      <c r="E11" s="7" t="s">
        <v>108</v>
      </c>
      <c r="F11" s="7" t="s">
        <v>109</v>
      </c>
      <c r="G11" s="7" t="s">
        <v>117</v>
      </c>
      <c r="H11" s="8" t="s">
        <v>42</v>
      </c>
      <c r="I11" s="7" t="s">
        <v>118</v>
      </c>
      <c r="J11" s="7" t="s">
        <v>44</v>
      </c>
      <c r="K11" s="7" t="n">
        <v>2</v>
      </c>
      <c r="L11" s="7" t="s">
        <v>119</v>
      </c>
      <c r="M11" s="7" t="s">
        <v>54</v>
      </c>
      <c r="N11" s="7" t="s">
        <v>120</v>
      </c>
      <c r="O11" s="7" t="s">
        <v>121</v>
      </c>
      <c r="P11" s="7" t="s">
        <v>44</v>
      </c>
    </row>
    <row r="12" customFormat="false" ht="46.25" hidden="false" customHeight="false" outlineLevel="0" collapsed="false">
      <c r="A12" s="7" t="s">
        <v>122</v>
      </c>
      <c r="B12" s="7" t="s">
        <v>123</v>
      </c>
      <c r="C12" s="7" t="s">
        <v>124</v>
      </c>
      <c r="D12" s="7" t="s">
        <v>37</v>
      </c>
      <c r="E12" s="7" t="s">
        <v>125</v>
      </c>
      <c r="F12" s="7" t="s">
        <v>73</v>
      </c>
      <c r="G12" s="7" t="s">
        <v>126</v>
      </c>
      <c r="H12" s="8" t="s">
        <v>42</v>
      </c>
      <c r="I12" s="7" t="s">
        <v>127</v>
      </c>
      <c r="J12" s="7" t="s">
        <v>128</v>
      </c>
      <c r="K12" s="7" t="n">
        <v>2</v>
      </c>
      <c r="L12" s="7" t="s">
        <v>129</v>
      </c>
      <c r="M12" s="7" t="s">
        <v>130</v>
      </c>
      <c r="N12" s="7" t="s">
        <v>131</v>
      </c>
      <c r="O12" s="7" t="s">
        <v>132</v>
      </c>
      <c r="P12" s="7" t="s">
        <v>44</v>
      </c>
    </row>
    <row r="13" customFormat="false" ht="46.25" hidden="false" customHeight="false" outlineLevel="0" collapsed="false">
      <c r="A13" s="7" t="s">
        <v>133</v>
      </c>
      <c r="B13" s="7" t="s">
        <v>123</v>
      </c>
      <c r="C13" s="7" t="s">
        <v>124</v>
      </c>
      <c r="D13" s="7" t="s">
        <v>58</v>
      </c>
      <c r="E13" s="7" t="s">
        <v>125</v>
      </c>
      <c r="F13" s="7" t="s">
        <v>73</v>
      </c>
      <c r="G13" s="7" t="s">
        <v>126</v>
      </c>
      <c r="H13" s="8" t="s">
        <v>42</v>
      </c>
      <c r="I13" s="7" t="s">
        <v>134</v>
      </c>
      <c r="J13" s="7" t="s">
        <v>135</v>
      </c>
      <c r="K13" s="7" t="n">
        <v>2</v>
      </c>
      <c r="L13" s="7" t="s">
        <v>136</v>
      </c>
      <c r="M13" s="7" t="s">
        <v>130</v>
      </c>
      <c r="N13" s="7" t="s">
        <v>137</v>
      </c>
      <c r="O13" s="7" t="s">
        <v>138</v>
      </c>
      <c r="P13" s="7" t="s">
        <v>44</v>
      </c>
    </row>
    <row r="14" customFormat="false" ht="57.45" hidden="false" customHeight="false" outlineLevel="0" collapsed="false">
      <c r="A14" s="7" t="s">
        <v>139</v>
      </c>
      <c r="B14" s="7" t="s">
        <v>123</v>
      </c>
      <c r="C14" s="7" t="s">
        <v>140</v>
      </c>
      <c r="D14" s="7" t="s">
        <v>71</v>
      </c>
      <c r="E14" s="7" t="s">
        <v>72</v>
      </c>
      <c r="F14" s="7" t="s">
        <v>73</v>
      </c>
      <c r="G14" s="7" t="s">
        <v>141</v>
      </c>
      <c r="H14" s="8" t="s">
        <v>42</v>
      </c>
      <c r="I14" s="7" t="s">
        <v>142</v>
      </c>
      <c r="J14" s="7" t="s">
        <v>143</v>
      </c>
      <c r="K14" s="7" t="n">
        <v>2</v>
      </c>
      <c r="L14" s="7" t="s">
        <v>144</v>
      </c>
      <c r="M14" s="7" t="s">
        <v>145</v>
      </c>
      <c r="N14" s="7" t="s">
        <v>146</v>
      </c>
      <c r="O14" s="7" t="s">
        <v>147</v>
      </c>
      <c r="P14" s="7" t="s">
        <v>44</v>
      </c>
    </row>
    <row r="15" customFormat="false" ht="46.25" hidden="false" customHeight="false" outlineLevel="0" collapsed="false">
      <c r="A15" s="7" t="s">
        <v>148</v>
      </c>
      <c r="B15" s="7" t="s">
        <v>123</v>
      </c>
      <c r="C15" s="7" t="s">
        <v>140</v>
      </c>
      <c r="D15" s="7" t="s">
        <v>107</v>
      </c>
      <c r="E15" s="7" t="s">
        <v>108</v>
      </c>
      <c r="F15" s="7" t="s">
        <v>109</v>
      </c>
      <c r="G15" s="7" t="s">
        <v>141</v>
      </c>
      <c r="H15" s="8" t="s">
        <v>42</v>
      </c>
      <c r="I15" s="7" t="s">
        <v>149</v>
      </c>
      <c r="J15" s="7" t="s">
        <v>143</v>
      </c>
      <c r="K15" s="7" t="n">
        <v>2</v>
      </c>
      <c r="L15" s="7" t="s">
        <v>150</v>
      </c>
      <c r="M15" s="7" t="s">
        <v>145</v>
      </c>
      <c r="N15" s="7" t="s">
        <v>151</v>
      </c>
      <c r="O15" s="7" t="s">
        <v>152</v>
      </c>
      <c r="P15" s="7" t="s">
        <v>44</v>
      </c>
    </row>
    <row r="16" customFormat="false" ht="57.45" hidden="false" customHeight="false" outlineLevel="0" collapsed="false">
      <c r="A16" s="7" t="s">
        <v>153</v>
      </c>
      <c r="B16" s="7" t="s">
        <v>123</v>
      </c>
      <c r="C16" s="7" t="s">
        <v>140</v>
      </c>
      <c r="D16" s="7" t="s">
        <v>116</v>
      </c>
      <c r="E16" s="7" t="s">
        <v>108</v>
      </c>
      <c r="F16" s="7" t="s">
        <v>109</v>
      </c>
      <c r="G16" s="7" t="s">
        <v>141</v>
      </c>
      <c r="H16" s="8" t="s">
        <v>42</v>
      </c>
      <c r="I16" s="7" t="s">
        <v>154</v>
      </c>
      <c r="J16" s="7" t="s">
        <v>143</v>
      </c>
      <c r="K16" s="7" t="n">
        <v>2</v>
      </c>
      <c r="L16" s="7" t="s">
        <v>155</v>
      </c>
      <c r="M16" s="7" t="s">
        <v>145</v>
      </c>
      <c r="N16" s="7" t="s">
        <v>156</v>
      </c>
      <c r="O16" s="7" t="s">
        <v>157</v>
      </c>
      <c r="P16" s="7" t="s">
        <v>44</v>
      </c>
    </row>
    <row r="17" customFormat="false" ht="35.05" hidden="false" customHeight="false" outlineLevel="0" collapsed="false">
      <c r="A17" s="7" t="s">
        <v>158</v>
      </c>
      <c r="B17" s="7" t="s">
        <v>123</v>
      </c>
      <c r="C17" s="7" t="s">
        <v>159</v>
      </c>
      <c r="D17" s="7" t="s">
        <v>71</v>
      </c>
      <c r="E17" s="7" t="s">
        <v>72</v>
      </c>
      <c r="F17" s="7" t="s">
        <v>73</v>
      </c>
      <c r="G17" s="7" t="s">
        <v>160</v>
      </c>
      <c r="H17" s="8" t="s">
        <v>42</v>
      </c>
      <c r="I17" s="7" t="s">
        <v>161</v>
      </c>
      <c r="J17" s="7" t="s">
        <v>44</v>
      </c>
      <c r="K17" s="7" t="n">
        <v>1</v>
      </c>
      <c r="L17" s="7" t="s">
        <v>162</v>
      </c>
      <c r="M17" s="7" t="s">
        <v>145</v>
      </c>
      <c r="N17" s="7" t="s">
        <v>163</v>
      </c>
      <c r="O17" s="7" t="s">
        <v>164</v>
      </c>
      <c r="P17" s="7" t="s">
        <v>44</v>
      </c>
    </row>
    <row r="18" customFormat="false" ht="35.05" hidden="false" customHeight="false" outlineLevel="0" collapsed="false">
      <c r="A18" s="7" t="s">
        <v>165</v>
      </c>
      <c r="B18" s="7" t="s">
        <v>123</v>
      </c>
      <c r="C18" s="7" t="s">
        <v>159</v>
      </c>
      <c r="D18" s="7" t="s">
        <v>107</v>
      </c>
      <c r="E18" s="7" t="s">
        <v>108</v>
      </c>
      <c r="F18" s="7" t="s">
        <v>109</v>
      </c>
      <c r="G18" s="7" t="s">
        <v>160</v>
      </c>
      <c r="H18" s="8" t="s">
        <v>42</v>
      </c>
      <c r="I18" s="7" t="s">
        <v>166</v>
      </c>
      <c r="J18" s="7" t="s">
        <v>44</v>
      </c>
      <c r="K18" s="7" t="n">
        <v>1</v>
      </c>
      <c r="L18" s="7" t="s">
        <v>167</v>
      </c>
      <c r="M18" s="7" t="s">
        <v>145</v>
      </c>
      <c r="N18" s="7" t="s">
        <v>168</v>
      </c>
      <c r="O18" s="7" t="s">
        <v>164</v>
      </c>
      <c r="P18" s="7" t="s">
        <v>44</v>
      </c>
    </row>
    <row r="19" customFormat="false" ht="35.05" hidden="false" customHeight="false" outlineLevel="0" collapsed="false">
      <c r="A19" s="7" t="s">
        <v>169</v>
      </c>
      <c r="B19" s="7" t="s">
        <v>123</v>
      </c>
      <c r="C19" s="7" t="s">
        <v>170</v>
      </c>
      <c r="D19" s="7" t="s">
        <v>37</v>
      </c>
      <c r="E19" s="7" t="s">
        <v>125</v>
      </c>
      <c r="F19" s="7" t="s">
        <v>73</v>
      </c>
      <c r="G19" s="7" t="s">
        <v>171</v>
      </c>
      <c r="H19" s="8" t="s">
        <v>42</v>
      </c>
      <c r="I19" s="7" t="s">
        <v>172</v>
      </c>
      <c r="J19" s="7" t="s">
        <v>44</v>
      </c>
      <c r="K19" s="7" t="n">
        <v>1</v>
      </c>
      <c r="L19" s="7" t="s">
        <v>173</v>
      </c>
      <c r="M19" s="7" t="s">
        <v>145</v>
      </c>
      <c r="N19" s="7" t="s">
        <v>174</v>
      </c>
      <c r="O19" s="7" t="s">
        <v>164</v>
      </c>
      <c r="P19" s="7" t="s">
        <v>44</v>
      </c>
    </row>
    <row r="20" customFormat="false" ht="35.05" hidden="false" customHeight="false" outlineLevel="0" collapsed="false">
      <c r="A20" s="7" t="s">
        <v>175</v>
      </c>
      <c r="B20" s="7" t="s">
        <v>123</v>
      </c>
      <c r="C20" s="7" t="s">
        <v>170</v>
      </c>
      <c r="D20" s="7" t="s">
        <v>58</v>
      </c>
      <c r="E20" s="7" t="s">
        <v>125</v>
      </c>
      <c r="F20" s="7" t="s">
        <v>73</v>
      </c>
      <c r="G20" s="7" t="s">
        <v>171</v>
      </c>
      <c r="H20" s="8" t="s">
        <v>42</v>
      </c>
      <c r="I20" s="7" t="s">
        <v>176</v>
      </c>
      <c r="J20" s="7" t="s">
        <v>44</v>
      </c>
      <c r="K20" s="7" t="n">
        <v>1</v>
      </c>
      <c r="L20" s="7" t="s">
        <v>177</v>
      </c>
      <c r="M20" s="7" t="s">
        <v>145</v>
      </c>
      <c r="N20" s="7" t="s">
        <v>178</v>
      </c>
      <c r="O20" s="7" t="s">
        <v>164</v>
      </c>
      <c r="P20" s="7" t="s">
        <v>44</v>
      </c>
    </row>
    <row r="21" customFormat="false" ht="35.05" hidden="false" customHeight="false" outlineLevel="0" collapsed="false">
      <c r="A21" s="7" t="s">
        <v>179</v>
      </c>
      <c r="B21" s="7" t="s">
        <v>123</v>
      </c>
      <c r="C21" s="7" t="s">
        <v>180</v>
      </c>
      <c r="D21" s="7" t="s">
        <v>37</v>
      </c>
      <c r="E21" s="7" t="s">
        <v>125</v>
      </c>
      <c r="F21" s="7" t="s">
        <v>73</v>
      </c>
      <c r="G21" s="7" t="s">
        <v>181</v>
      </c>
      <c r="H21" s="8" t="s">
        <v>42</v>
      </c>
      <c r="I21" s="7" t="s">
        <v>182</v>
      </c>
      <c r="J21" s="7" t="s">
        <v>44</v>
      </c>
      <c r="K21" s="7" t="n">
        <v>1</v>
      </c>
      <c r="L21" s="7" t="s">
        <v>183</v>
      </c>
      <c r="M21" s="7" t="s">
        <v>145</v>
      </c>
      <c r="N21" s="7" t="s">
        <v>184</v>
      </c>
      <c r="O21" s="7" t="s">
        <v>164</v>
      </c>
      <c r="P21" s="7" t="s">
        <v>44</v>
      </c>
    </row>
    <row r="22" customFormat="false" ht="35.05" hidden="false" customHeight="false" outlineLevel="0" collapsed="false">
      <c r="A22" s="7" t="s">
        <v>185</v>
      </c>
      <c r="B22" s="7" t="s">
        <v>123</v>
      </c>
      <c r="C22" s="7" t="s">
        <v>180</v>
      </c>
      <c r="D22" s="7" t="s">
        <v>58</v>
      </c>
      <c r="E22" s="7" t="s">
        <v>125</v>
      </c>
      <c r="F22" s="7" t="s">
        <v>73</v>
      </c>
      <c r="G22" s="7" t="s">
        <v>181</v>
      </c>
      <c r="H22" s="8" t="s">
        <v>42</v>
      </c>
      <c r="I22" s="7" t="s">
        <v>186</v>
      </c>
      <c r="J22" s="7" t="s">
        <v>44</v>
      </c>
      <c r="K22" s="7" t="n">
        <v>1</v>
      </c>
      <c r="L22" s="7" t="s">
        <v>187</v>
      </c>
      <c r="M22" s="7" t="s">
        <v>145</v>
      </c>
      <c r="N22" s="7" t="s">
        <v>188</v>
      </c>
      <c r="O22" s="7" t="s">
        <v>164</v>
      </c>
      <c r="P22" s="7" t="s">
        <v>44</v>
      </c>
    </row>
    <row r="23" customFormat="false" ht="23.85" hidden="false" customHeight="false" outlineLevel="0" collapsed="false">
      <c r="A23" s="7" t="s">
        <v>189</v>
      </c>
      <c r="B23" s="7" t="s">
        <v>123</v>
      </c>
      <c r="C23" s="7" t="s">
        <v>190</v>
      </c>
      <c r="D23" s="7" t="s">
        <v>80</v>
      </c>
      <c r="E23" s="7" t="s">
        <v>81</v>
      </c>
      <c r="F23" s="7" t="s">
        <v>82</v>
      </c>
      <c r="G23" s="7" t="s">
        <v>191</v>
      </c>
      <c r="H23" s="8" t="s">
        <v>42</v>
      </c>
      <c r="I23" s="7" t="s">
        <v>192</v>
      </c>
      <c r="J23" s="7" t="s">
        <v>44</v>
      </c>
      <c r="K23" s="7" t="n">
        <v>1</v>
      </c>
      <c r="L23" s="7" t="s">
        <v>193</v>
      </c>
      <c r="M23" s="7" t="s">
        <v>145</v>
      </c>
      <c r="N23" s="7" t="s">
        <v>194</v>
      </c>
      <c r="O23" s="7" t="s">
        <v>164</v>
      </c>
      <c r="P23" s="7" t="s">
        <v>44</v>
      </c>
    </row>
    <row r="24" customFormat="false" ht="23.85" hidden="false" customHeight="false" outlineLevel="0" collapsed="false">
      <c r="A24" s="7" t="s">
        <v>195</v>
      </c>
      <c r="B24" s="7" t="s">
        <v>123</v>
      </c>
      <c r="C24" s="7" t="s">
        <v>196</v>
      </c>
      <c r="D24" s="7" t="s">
        <v>80</v>
      </c>
      <c r="E24" s="7" t="s">
        <v>81</v>
      </c>
      <c r="F24" s="7" t="s">
        <v>82</v>
      </c>
      <c r="G24" s="7" t="s">
        <v>197</v>
      </c>
      <c r="H24" s="8" t="s">
        <v>42</v>
      </c>
      <c r="I24" s="7" t="s">
        <v>198</v>
      </c>
      <c r="J24" s="7" t="s">
        <v>44</v>
      </c>
      <c r="K24" s="7" t="n">
        <v>1</v>
      </c>
      <c r="L24" s="7" t="s">
        <v>199</v>
      </c>
      <c r="M24" s="7" t="s">
        <v>145</v>
      </c>
      <c r="N24" s="7" t="s">
        <v>200</v>
      </c>
      <c r="O24" s="7" t="s">
        <v>164</v>
      </c>
      <c r="P24" s="7" t="s">
        <v>44</v>
      </c>
    </row>
    <row r="25" customFormat="false" ht="35.05" hidden="false" customHeight="false" outlineLevel="0" collapsed="false">
      <c r="A25" s="7" t="s">
        <v>201</v>
      </c>
      <c r="B25" s="7" t="s">
        <v>123</v>
      </c>
      <c r="C25" s="7" t="s">
        <v>202</v>
      </c>
      <c r="D25" s="7" t="s">
        <v>89</v>
      </c>
      <c r="E25" s="7" t="s">
        <v>90</v>
      </c>
      <c r="F25" s="7" t="s">
        <v>91</v>
      </c>
      <c r="G25" s="7" t="s">
        <v>203</v>
      </c>
      <c r="H25" s="8" t="s">
        <v>42</v>
      </c>
      <c r="I25" s="7" t="s">
        <v>204</v>
      </c>
      <c r="J25" s="7" t="s">
        <v>44</v>
      </c>
      <c r="K25" s="7" t="n">
        <v>1</v>
      </c>
      <c r="L25" s="7" t="s">
        <v>205</v>
      </c>
      <c r="M25" s="7" t="s">
        <v>145</v>
      </c>
      <c r="N25" s="7" t="s">
        <v>206</v>
      </c>
      <c r="O25" s="7" t="s">
        <v>164</v>
      </c>
      <c r="P25" s="7" t="s">
        <v>44</v>
      </c>
    </row>
    <row r="26" customFormat="false" ht="23.85" hidden="false" customHeight="false" outlineLevel="0" collapsed="false">
      <c r="A26" s="7" t="s">
        <v>207</v>
      </c>
      <c r="B26" s="7" t="s">
        <v>123</v>
      </c>
      <c r="C26" s="7" t="s">
        <v>208</v>
      </c>
      <c r="D26" s="7" t="s">
        <v>98</v>
      </c>
      <c r="E26" s="7" t="s">
        <v>99</v>
      </c>
      <c r="F26" s="7" t="s">
        <v>100</v>
      </c>
      <c r="G26" s="7" t="s">
        <v>209</v>
      </c>
      <c r="H26" s="8" t="s">
        <v>42</v>
      </c>
      <c r="I26" s="7" t="s">
        <v>210</v>
      </c>
      <c r="J26" s="7" t="s">
        <v>44</v>
      </c>
      <c r="K26" s="7" t="n">
        <v>1</v>
      </c>
      <c r="L26" s="7" t="s">
        <v>211</v>
      </c>
      <c r="M26" s="7" t="s">
        <v>145</v>
      </c>
      <c r="N26" s="7" t="s">
        <v>212</v>
      </c>
      <c r="O26" s="7" t="s">
        <v>164</v>
      </c>
      <c r="P26" s="7" t="s">
        <v>44</v>
      </c>
    </row>
    <row r="27" customFormat="false" ht="23.85" hidden="false" customHeight="false" outlineLevel="0" collapsed="false">
      <c r="A27" s="7" t="s">
        <v>213</v>
      </c>
      <c r="B27" s="7" t="s">
        <v>123</v>
      </c>
      <c r="C27" s="7" t="s">
        <v>214</v>
      </c>
      <c r="D27" s="7" t="s">
        <v>71</v>
      </c>
      <c r="E27" s="7" t="s">
        <v>72</v>
      </c>
      <c r="F27" s="7" t="s">
        <v>73</v>
      </c>
      <c r="G27" s="7" t="s">
        <v>215</v>
      </c>
      <c r="H27" s="8" t="s">
        <v>42</v>
      </c>
      <c r="I27" s="7" t="s">
        <v>216</v>
      </c>
      <c r="J27" s="7" t="s">
        <v>44</v>
      </c>
      <c r="K27" s="7" t="n">
        <v>1</v>
      </c>
      <c r="L27" s="7" t="s">
        <v>217</v>
      </c>
      <c r="M27" s="7" t="s">
        <v>145</v>
      </c>
      <c r="N27" s="7" t="s">
        <v>218</v>
      </c>
      <c r="O27" s="7" t="s">
        <v>164</v>
      </c>
      <c r="P27" s="7" t="s">
        <v>44</v>
      </c>
    </row>
    <row r="28" customFormat="false" ht="35.05" hidden="false" customHeight="false" outlineLevel="0" collapsed="false">
      <c r="A28" s="7" t="s">
        <v>219</v>
      </c>
      <c r="B28" s="7" t="s">
        <v>220</v>
      </c>
      <c r="C28" s="7" t="s">
        <v>221</v>
      </c>
      <c r="D28" s="7" t="s">
        <v>124</v>
      </c>
      <c r="E28" s="7" t="s">
        <v>125</v>
      </c>
      <c r="F28" s="7" t="s">
        <v>73</v>
      </c>
      <c r="G28" s="7" t="s">
        <v>222</v>
      </c>
      <c r="H28" s="8" t="s">
        <v>42</v>
      </c>
      <c r="I28" s="7" t="s">
        <v>223</v>
      </c>
      <c r="J28" s="7" t="s">
        <v>44</v>
      </c>
      <c r="K28" s="7" t="n">
        <v>1</v>
      </c>
      <c r="L28" s="7" t="s">
        <v>224</v>
      </c>
      <c r="M28" s="7" t="s">
        <v>145</v>
      </c>
      <c r="N28" s="7" t="s">
        <v>225</v>
      </c>
      <c r="O28" s="7" t="s">
        <v>226</v>
      </c>
      <c r="P28" s="7" t="s">
        <v>44</v>
      </c>
    </row>
    <row r="29" customFormat="false" ht="35.05" hidden="false" customHeight="false" outlineLevel="0" collapsed="false">
      <c r="A29" s="7" t="s">
        <v>227</v>
      </c>
      <c r="B29" s="7" t="s">
        <v>220</v>
      </c>
      <c r="C29" s="7" t="s">
        <v>228</v>
      </c>
      <c r="D29" s="7" t="s">
        <v>124</v>
      </c>
      <c r="E29" s="7" t="s">
        <v>125</v>
      </c>
      <c r="F29" s="7" t="s">
        <v>73</v>
      </c>
      <c r="G29" s="7" t="s">
        <v>229</v>
      </c>
      <c r="H29" s="9" t="s">
        <v>230</v>
      </c>
      <c r="I29" s="7" t="s">
        <v>231</v>
      </c>
      <c r="J29" s="7" t="s">
        <v>44</v>
      </c>
      <c r="K29" s="7" t="n">
        <v>1</v>
      </c>
      <c r="L29" s="7" t="s">
        <v>232</v>
      </c>
      <c r="M29" s="7" t="s">
        <v>145</v>
      </c>
      <c r="N29" s="7" t="s">
        <v>233</v>
      </c>
      <c r="O29" s="7" t="s">
        <v>234</v>
      </c>
      <c r="P29" s="7" t="s">
        <v>235</v>
      </c>
    </row>
    <row r="30" customFormat="false" ht="23.85" hidden="false" customHeight="false" outlineLevel="0" collapsed="false">
      <c r="A30" s="7" t="s">
        <v>236</v>
      </c>
      <c r="B30" s="7" t="s">
        <v>220</v>
      </c>
      <c r="C30" s="7" t="s">
        <v>237</v>
      </c>
      <c r="D30" s="7" t="s">
        <v>140</v>
      </c>
      <c r="E30" s="7" t="s">
        <v>238</v>
      </c>
      <c r="F30" s="7" t="s">
        <v>73</v>
      </c>
      <c r="G30" s="7" t="s">
        <v>239</v>
      </c>
      <c r="H30" s="8" t="s">
        <v>42</v>
      </c>
      <c r="I30" s="7" t="s">
        <v>240</v>
      </c>
      <c r="J30" s="7" t="s">
        <v>143</v>
      </c>
      <c r="K30" s="7" t="n">
        <v>1</v>
      </c>
      <c r="L30" s="7" t="s">
        <v>241</v>
      </c>
      <c r="M30" s="7" t="s">
        <v>145</v>
      </c>
      <c r="N30" s="7" t="s">
        <v>242</v>
      </c>
      <c r="O30" s="7" t="s">
        <v>243</v>
      </c>
      <c r="P30" s="7" t="s">
        <v>44</v>
      </c>
    </row>
    <row r="31" customFormat="false" ht="23.85" hidden="false" customHeight="false" outlineLevel="0" collapsed="false">
      <c r="A31" s="7" t="s">
        <v>244</v>
      </c>
      <c r="B31" s="7" t="s">
        <v>220</v>
      </c>
      <c r="C31" s="7" t="s">
        <v>245</v>
      </c>
      <c r="D31" s="7" t="s">
        <v>140</v>
      </c>
      <c r="E31" s="7" t="s">
        <v>238</v>
      </c>
      <c r="F31" s="7" t="s">
        <v>73</v>
      </c>
      <c r="G31" s="7" t="s">
        <v>246</v>
      </c>
      <c r="H31" s="8" t="s">
        <v>42</v>
      </c>
      <c r="I31" s="7" t="s">
        <v>247</v>
      </c>
      <c r="J31" s="7" t="s">
        <v>143</v>
      </c>
      <c r="K31" s="7" t="n">
        <v>1</v>
      </c>
      <c r="L31" s="7" t="s">
        <v>248</v>
      </c>
      <c r="M31" s="7" t="s">
        <v>145</v>
      </c>
      <c r="N31" s="7" t="s">
        <v>249</v>
      </c>
      <c r="O31" s="7" t="s">
        <v>243</v>
      </c>
      <c r="P31" s="7" t="s">
        <v>44</v>
      </c>
    </row>
    <row r="32" customFormat="false" ht="35.05" hidden="false" customHeight="false" outlineLevel="0" collapsed="false">
      <c r="A32" s="7" t="s">
        <v>250</v>
      </c>
      <c r="B32" s="7" t="s">
        <v>220</v>
      </c>
      <c r="C32" s="7" t="s">
        <v>251</v>
      </c>
      <c r="D32" s="7" t="s">
        <v>180</v>
      </c>
      <c r="E32" s="7" t="s">
        <v>125</v>
      </c>
      <c r="F32" s="7" t="s">
        <v>73</v>
      </c>
      <c r="G32" s="7" t="s">
        <v>252</v>
      </c>
      <c r="H32" s="8" t="s">
        <v>42</v>
      </c>
      <c r="I32" s="7" t="s">
        <v>253</v>
      </c>
      <c r="J32" s="7" t="s">
        <v>44</v>
      </c>
      <c r="K32" s="7" t="n">
        <v>1</v>
      </c>
      <c r="L32" s="7" t="s">
        <v>254</v>
      </c>
      <c r="M32" s="7" t="s">
        <v>145</v>
      </c>
      <c r="N32" s="7" t="s">
        <v>255</v>
      </c>
      <c r="O32" s="7" t="s">
        <v>256</v>
      </c>
      <c r="P32" s="7" t="s">
        <v>44</v>
      </c>
    </row>
    <row r="33" customFormat="false" ht="23.85" hidden="false" customHeight="false" outlineLevel="0" collapsed="false">
      <c r="A33" s="7" t="s">
        <v>257</v>
      </c>
      <c r="B33" s="7" t="s">
        <v>220</v>
      </c>
      <c r="C33" s="7" t="s">
        <v>258</v>
      </c>
      <c r="D33" s="7" t="s">
        <v>190</v>
      </c>
      <c r="E33" s="7" t="s">
        <v>81</v>
      </c>
      <c r="F33" s="7" t="s">
        <v>82</v>
      </c>
      <c r="G33" s="7" t="s">
        <v>259</v>
      </c>
      <c r="H33" s="8" t="s">
        <v>42</v>
      </c>
      <c r="I33" s="7" t="s">
        <v>260</v>
      </c>
      <c r="J33" s="7" t="s">
        <v>44</v>
      </c>
      <c r="K33" s="7" t="n">
        <v>1</v>
      </c>
      <c r="L33" s="7" t="s">
        <v>261</v>
      </c>
      <c r="M33" s="7" t="s">
        <v>145</v>
      </c>
      <c r="N33" s="7" t="s">
        <v>262</v>
      </c>
      <c r="O33" s="7" t="s">
        <v>263</v>
      </c>
      <c r="P33" s="7" t="s">
        <v>44</v>
      </c>
    </row>
  </sheetData>
  <autoFilter ref="A1:P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32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22"/>
  </cols>
  <sheetData>
    <row r="1" customFormat="false" ht="46.25" hidden="false" customHeight="false" outlineLevel="0" collapsed="false">
      <c r="A1" s="6" t="s">
        <v>264</v>
      </c>
      <c r="B1" s="6" t="s">
        <v>265</v>
      </c>
      <c r="C1" s="6" t="s">
        <v>266</v>
      </c>
      <c r="D1" s="6" t="s">
        <v>267</v>
      </c>
      <c r="E1" s="6" t="s">
        <v>268</v>
      </c>
      <c r="F1" s="6" t="s">
        <v>269</v>
      </c>
      <c r="G1" s="6" t="s">
        <v>270</v>
      </c>
      <c r="H1" s="6" t="s">
        <v>271</v>
      </c>
      <c r="I1" s="6" t="s">
        <v>272</v>
      </c>
      <c r="J1" s="6" t="s">
        <v>26</v>
      </c>
      <c r="K1" s="6" t="s">
        <v>19</v>
      </c>
      <c r="L1" s="6" t="s">
        <v>27</v>
      </c>
    </row>
    <row r="2" customFormat="false" ht="23.85" hidden="false" customHeight="false" outlineLevel="0" collapsed="false">
      <c r="A2" s="7" t="s">
        <v>100</v>
      </c>
      <c r="B2" s="7" t="s">
        <v>273</v>
      </c>
      <c r="C2" s="7" t="s">
        <v>36</v>
      </c>
      <c r="D2" s="7" t="s">
        <v>72</v>
      </c>
      <c r="E2" s="7" t="s">
        <v>274</v>
      </c>
      <c r="F2" s="7" t="s">
        <v>275</v>
      </c>
      <c r="G2" s="7" t="s">
        <v>276</v>
      </c>
      <c r="H2" s="7" t="s">
        <v>277</v>
      </c>
      <c r="I2" s="7" t="s">
        <v>278</v>
      </c>
      <c r="J2" s="8" t="s">
        <v>42</v>
      </c>
      <c r="K2" s="7" t="s">
        <v>70</v>
      </c>
      <c r="L2" s="7" t="s">
        <v>75</v>
      </c>
    </row>
    <row r="3" customFormat="false" ht="15" hidden="false" customHeight="false" outlineLevel="0" collapsed="false">
      <c r="A3" s="7" t="s">
        <v>100</v>
      </c>
      <c r="B3" s="7" t="s">
        <v>273</v>
      </c>
      <c r="C3" s="7" t="s">
        <v>123</v>
      </c>
      <c r="D3" s="7" t="s">
        <v>72</v>
      </c>
      <c r="E3" s="7" t="s">
        <v>274</v>
      </c>
      <c r="F3" s="7" t="s">
        <v>279</v>
      </c>
      <c r="G3" s="7" t="s">
        <v>280</v>
      </c>
      <c r="H3" s="7" t="s">
        <v>281</v>
      </c>
      <c r="I3" s="7" t="s">
        <v>275</v>
      </c>
      <c r="J3" s="8" t="s">
        <v>42</v>
      </c>
      <c r="K3" s="7" t="s">
        <v>139</v>
      </c>
      <c r="L3" s="7" t="s">
        <v>142</v>
      </c>
    </row>
    <row r="4" customFormat="false" ht="15" hidden="false" customHeight="false" outlineLevel="0" collapsed="false">
      <c r="A4" s="7" t="s">
        <v>100</v>
      </c>
      <c r="B4" s="7" t="s">
        <v>273</v>
      </c>
      <c r="C4" s="7" t="s">
        <v>123</v>
      </c>
      <c r="D4" s="7" t="s">
        <v>72</v>
      </c>
      <c r="E4" s="7" t="s">
        <v>274</v>
      </c>
      <c r="F4" s="7" t="s">
        <v>282</v>
      </c>
      <c r="G4" s="7" t="s">
        <v>283</v>
      </c>
      <c r="H4" s="7" t="s">
        <v>284</v>
      </c>
      <c r="I4" s="7" t="s">
        <v>275</v>
      </c>
      <c r="J4" s="8" t="s">
        <v>42</v>
      </c>
      <c r="K4" s="7" t="s">
        <v>158</v>
      </c>
      <c r="L4" s="7" t="s">
        <v>161</v>
      </c>
    </row>
    <row r="5" customFormat="false" ht="15" hidden="false" customHeight="false" outlineLevel="0" collapsed="false">
      <c r="A5" s="7" t="s">
        <v>100</v>
      </c>
      <c r="B5" s="7" t="s">
        <v>273</v>
      </c>
      <c r="C5" s="7" t="s">
        <v>123</v>
      </c>
      <c r="D5" s="7" t="s">
        <v>72</v>
      </c>
      <c r="E5" s="7" t="s">
        <v>274</v>
      </c>
      <c r="F5" s="7" t="s">
        <v>285</v>
      </c>
      <c r="G5" s="7" t="s">
        <v>286</v>
      </c>
      <c r="H5" s="7" t="s">
        <v>287</v>
      </c>
      <c r="I5" s="7" t="s">
        <v>275</v>
      </c>
      <c r="J5" s="8" t="s">
        <v>42</v>
      </c>
      <c r="K5" s="7" t="s">
        <v>213</v>
      </c>
      <c r="L5" s="7" t="s">
        <v>216</v>
      </c>
    </row>
    <row r="6" customFormat="false" ht="15" hidden="false" customHeight="false" outlineLevel="0" collapsed="false">
      <c r="A6" s="7" t="s">
        <v>100</v>
      </c>
      <c r="B6" s="7" t="s">
        <v>273</v>
      </c>
      <c r="C6" s="7" t="s">
        <v>220</v>
      </c>
      <c r="D6" s="7" t="s">
        <v>72</v>
      </c>
      <c r="E6" s="7" t="s">
        <v>274</v>
      </c>
      <c r="F6" s="7" t="s">
        <v>288</v>
      </c>
      <c r="G6" s="7" t="s">
        <v>289</v>
      </c>
      <c r="H6" s="7" t="s">
        <v>290</v>
      </c>
      <c r="I6" s="7" t="s">
        <v>279</v>
      </c>
      <c r="J6" s="8" t="s">
        <v>42</v>
      </c>
      <c r="K6" s="7" t="s">
        <v>236</v>
      </c>
      <c r="L6" s="7" t="s">
        <v>240</v>
      </c>
    </row>
    <row r="7" customFormat="false" ht="15" hidden="false" customHeight="false" outlineLevel="0" collapsed="false">
      <c r="A7" s="7" t="s">
        <v>100</v>
      </c>
      <c r="B7" s="7" t="s">
        <v>273</v>
      </c>
      <c r="C7" s="7" t="s">
        <v>220</v>
      </c>
      <c r="D7" s="7" t="s">
        <v>72</v>
      </c>
      <c r="E7" s="7" t="s">
        <v>274</v>
      </c>
      <c r="F7" s="7" t="s">
        <v>291</v>
      </c>
      <c r="G7" s="7" t="s">
        <v>292</v>
      </c>
      <c r="H7" s="7" t="s">
        <v>293</v>
      </c>
      <c r="I7" s="7" t="s">
        <v>279</v>
      </c>
      <c r="J7" s="8" t="s">
        <v>42</v>
      </c>
      <c r="K7" s="7" t="s">
        <v>244</v>
      </c>
      <c r="L7" s="7" t="s">
        <v>247</v>
      </c>
    </row>
    <row r="8" customFormat="false" ht="23.85" hidden="false" customHeight="false" outlineLevel="0" collapsed="false">
      <c r="A8" s="7" t="s">
        <v>100</v>
      </c>
      <c r="B8" s="7" t="s">
        <v>273</v>
      </c>
      <c r="C8" s="7" t="s">
        <v>36</v>
      </c>
      <c r="D8" s="7" t="s">
        <v>81</v>
      </c>
      <c r="E8" s="7" t="s">
        <v>294</v>
      </c>
      <c r="F8" s="7" t="s">
        <v>295</v>
      </c>
      <c r="G8" s="7" t="s">
        <v>296</v>
      </c>
      <c r="H8" s="7" t="s">
        <v>297</v>
      </c>
      <c r="I8" s="7" t="s">
        <v>278</v>
      </c>
      <c r="J8" s="8" t="s">
        <v>42</v>
      </c>
      <c r="K8" s="7" t="s">
        <v>79</v>
      </c>
      <c r="L8" s="7" t="s">
        <v>84</v>
      </c>
    </row>
    <row r="9" customFormat="false" ht="15" hidden="false" customHeight="false" outlineLevel="0" collapsed="false">
      <c r="A9" s="7" t="s">
        <v>100</v>
      </c>
      <c r="B9" s="7" t="s">
        <v>273</v>
      </c>
      <c r="C9" s="7" t="s">
        <v>123</v>
      </c>
      <c r="D9" s="7" t="s">
        <v>81</v>
      </c>
      <c r="E9" s="7" t="s">
        <v>294</v>
      </c>
      <c r="F9" s="7" t="s">
        <v>298</v>
      </c>
      <c r="G9" s="7" t="s">
        <v>299</v>
      </c>
      <c r="H9" s="7" t="s">
        <v>300</v>
      </c>
      <c r="I9" s="7" t="s">
        <v>295</v>
      </c>
      <c r="J9" s="8" t="s">
        <v>42</v>
      </c>
      <c r="K9" s="7" t="s">
        <v>189</v>
      </c>
      <c r="L9" s="7" t="s">
        <v>192</v>
      </c>
    </row>
    <row r="10" customFormat="false" ht="15" hidden="false" customHeight="false" outlineLevel="0" collapsed="false">
      <c r="A10" s="7" t="s">
        <v>100</v>
      </c>
      <c r="B10" s="7" t="s">
        <v>273</v>
      </c>
      <c r="C10" s="7" t="s">
        <v>123</v>
      </c>
      <c r="D10" s="7" t="s">
        <v>81</v>
      </c>
      <c r="E10" s="7" t="s">
        <v>294</v>
      </c>
      <c r="F10" s="7" t="s">
        <v>301</v>
      </c>
      <c r="G10" s="7" t="s">
        <v>302</v>
      </c>
      <c r="H10" s="7" t="s">
        <v>303</v>
      </c>
      <c r="I10" s="7" t="s">
        <v>295</v>
      </c>
      <c r="J10" s="8" t="s">
        <v>42</v>
      </c>
      <c r="K10" s="7" t="s">
        <v>195</v>
      </c>
      <c r="L10" s="7" t="s">
        <v>198</v>
      </c>
    </row>
    <row r="11" customFormat="false" ht="15" hidden="false" customHeight="false" outlineLevel="0" collapsed="false">
      <c r="A11" s="7" t="s">
        <v>100</v>
      </c>
      <c r="B11" s="7" t="s">
        <v>273</v>
      </c>
      <c r="C11" s="7" t="s">
        <v>220</v>
      </c>
      <c r="D11" s="7" t="s">
        <v>81</v>
      </c>
      <c r="E11" s="7" t="s">
        <v>294</v>
      </c>
      <c r="F11" s="7" t="s">
        <v>304</v>
      </c>
      <c r="G11" s="7" t="s">
        <v>305</v>
      </c>
      <c r="H11" s="7" t="s">
        <v>306</v>
      </c>
      <c r="I11" s="7" t="s">
        <v>298</v>
      </c>
      <c r="J11" s="8" t="s">
        <v>42</v>
      </c>
      <c r="K11" s="7" t="s">
        <v>257</v>
      </c>
      <c r="L11" s="7" t="s">
        <v>260</v>
      </c>
    </row>
    <row r="12" customFormat="false" ht="15" hidden="false" customHeight="false" outlineLevel="0" collapsed="false">
      <c r="A12" s="7" t="s">
        <v>100</v>
      </c>
      <c r="B12" s="7" t="s">
        <v>273</v>
      </c>
      <c r="C12" s="7" t="s">
        <v>36</v>
      </c>
      <c r="D12" s="7" t="s">
        <v>99</v>
      </c>
      <c r="E12" s="7" t="s">
        <v>307</v>
      </c>
      <c r="F12" s="7" t="s">
        <v>308</v>
      </c>
      <c r="G12" s="7" t="s">
        <v>309</v>
      </c>
      <c r="H12" s="7" t="s">
        <v>310</v>
      </c>
      <c r="I12" s="7" t="s">
        <v>278</v>
      </c>
      <c r="J12" s="8" t="s">
        <v>42</v>
      </c>
      <c r="K12" s="7" t="s">
        <v>97</v>
      </c>
      <c r="L12" s="7" t="s">
        <v>102</v>
      </c>
    </row>
    <row r="13" customFormat="false" ht="15" hidden="false" customHeight="false" outlineLevel="0" collapsed="false">
      <c r="A13" s="7" t="s">
        <v>100</v>
      </c>
      <c r="B13" s="7" t="s">
        <v>273</v>
      </c>
      <c r="C13" s="7" t="s">
        <v>123</v>
      </c>
      <c r="D13" s="7" t="s">
        <v>99</v>
      </c>
      <c r="E13" s="7" t="s">
        <v>307</v>
      </c>
      <c r="F13" s="7" t="s">
        <v>311</v>
      </c>
      <c r="G13" s="7" t="s">
        <v>312</v>
      </c>
      <c r="H13" s="7" t="s">
        <v>313</v>
      </c>
      <c r="I13" s="7" t="s">
        <v>308</v>
      </c>
      <c r="J13" s="8" t="s">
        <v>42</v>
      </c>
      <c r="K13" s="7" t="s">
        <v>207</v>
      </c>
      <c r="L13" s="7" t="s">
        <v>210</v>
      </c>
    </row>
    <row r="14" customFormat="false" ht="23.85" hidden="false" customHeight="false" outlineLevel="0" collapsed="false">
      <c r="A14" s="7" t="s">
        <v>100</v>
      </c>
      <c r="B14" s="7" t="s">
        <v>273</v>
      </c>
      <c r="C14" s="7" t="s">
        <v>36</v>
      </c>
      <c r="D14" s="7" t="s">
        <v>39</v>
      </c>
      <c r="E14" s="7" t="s">
        <v>314</v>
      </c>
      <c r="F14" s="7" t="s">
        <v>315</v>
      </c>
      <c r="G14" s="7" t="s">
        <v>316</v>
      </c>
      <c r="H14" s="7" t="s">
        <v>317</v>
      </c>
      <c r="I14" s="7" t="s">
        <v>278</v>
      </c>
      <c r="J14" s="8" t="s">
        <v>42</v>
      </c>
      <c r="K14" s="7" t="s">
        <v>35</v>
      </c>
      <c r="L14" s="7" t="s">
        <v>43</v>
      </c>
    </row>
    <row r="15" customFormat="false" ht="23.85" hidden="false" customHeight="false" outlineLevel="0" collapsed="false">
      <c r="A15" s="7" t="s">
        <v>100</v>
      </c>
      <c r="B15" s="7" t="s">
        <v>273</v>
      </c>
      <c r="C15" s="7" t="s">
        <v>36</v>
      </c>
      <c r="D15" s="7" t="s">
        <v>39</v>
      </c>
      <c r="E15" s="7" t="s">
        <v>314</v>
      </c>
      <c r="F15" s="7" t="s">
        <v>318</v>
      </c>
      <c r="G15" s="7" t="s">
        <v>319</v>
      </c>
      <c r="H15" s="7" t="s">
        <v>320</v>
      </c>
      <c r="I15" s="7" t="s">
        <v>278</v>
      </c>
      <c r="J15" s="8" t="s">
        <v>42</v>
      </c>
      <c r="K15" s="7" t="s">
        <v>57</v>
      </c>
      <c r="L15" s="7" t="s">
        <v>60</v>
      </c>
    </row>
    <row r="16" customFormat="false" ht="15" hidden="false" customHeight="false" outlineLevel="0" collapsed="false">
      <c r="A16" s="7" t="s">
        <v>100</v>
      </c>
      <c r="B16" s="7" t="s">
        <v>273</v>
      </c>
      <c r="C16" s="7" t="s">
        <v>123</v>
      </c>
      <c r="D16" s="7" t="s">
        <v>39</v>
      </c>
      <c r="E16" s="7" t="s">
        <v>314</v>
      </c>
      <c r="F16" s="7" t="s">
        <v>321</v>
      </c>
      <c r="G16" s="7" t="s">
        <v>322</v>
      </c>
      <c r="H16" s="7" t="s">
        <v>323</v>
      </c>
      <c r="I16" s="7" t="s">
        <v>315</v>
      </c>
      <c r="J16" s="8" t="s">
        <v>42</v>
      </c>
      <c r="K16" s="7" t="s">
        <v>122</v>
      </c>
      <c r="L16" s="7" t="s">
        <v>127</v>
      </c>
    </row>
    <row r="17" customFormat="false" ht="15" hidden="false" customHeight="false" outlineLevel="0" collapsed="false">
      <c r="A17" s="7" t="s">
        <v>100</v>
      </c>
      <c r="B17" s="7" t="s">
        <v>273</v>
      </c>
      <c r="C17" s="7" t="s">
        <v>123</v>
      </c>
      <c r="D17" s="7" t="s">
        <v>39</v>
      </c>
      <c r="E17" s="7" t="s">
        <v>314</v>
      </c>
      <c r="F17" s="7" t="s">
        <v>321</v>
      </c>
      <c r="G17" s="7" t="s">
        <v>322</v>
      </c>
      <c r="H17" s="7" t="s">
        <v>323</v>
      </c>
      <c r="I17" s="7" t="s">
        <v>318</v>
      </c>
      <c r="J17" s="8" t="s">
        <v>42</v>
      </c>
      <c r="K17" s="7" t="s">
        <v>133</v>
      </c>
      <c r="L17" s="7" t="s">
        <v>134</v>
      </c>
    </row>
    <row r="18" customFormat="false" ht="15" hidden="false" customHeight="false" outlineLevel="0" collapsed="false">
      <c r="A18" s="7" t="s">
        <v>100</v>
      </c>
      <c r="B18" s="7" t="s">
        <v>273</v>
      </c>
      <c r="C18" s="7" t="s">
        <v>123</v>
      </c>
      <c r="D18" s="7" t="s">
        <v>39</v>
      </c>
      <c r="E18" s="7" t="s">
        <v>314</v>
      </c>
      <c r="F18" s="7" t="s">
        <v>324</v>
      </c>
      <c r="G18" s="7" t="s">
        <v>325</v>
      </c>
      <c r="H18" s="7" t="s">
        <v>326</v>
      </c>
      <c r="I18" s="7" t="s">
        <v>315</v>
      </c>
      <c r="J18" s="8" t="s">
        <v>42</v>
      </c>
      <c r="K18" s="7" t="s">
        <v>169</v>
      </c>
      <c r="L18" s="7" t="s">
        <v>172</v>
      </c>
    </row>
    <row r="19" customFormat="false" ht="15" hidden="false" customHeight="false" outlineLevel="0" collapsed="false">
      <c r="A19" s="7" t="s">
        <v>100</v>
      </c>
      <c r="B19" s="7" t="s">
        <v>273</v>
      </c>
      <c r="C19" s="7" t="s">
        <v>123</v>
      </c>
      <c r="D19" s="7" t="s">
        <v>39</v>
      </c>
      <c r="E19" s="7" t="s">
        <v>314</v>
      </c>
      <c r="F19" s="7" t="s">
        <v>324</v>
      </c>
      <c r="G19" s="7" t="s">
        <v>325</v>
      </c>
      <c r="H19" s="7" t="s">
        <v>326</v>
      </c>
      <c r="I19" s="7" t="s">
        <v>318</v>
      </c>
      <c r="J19" s="8" t="s">
        <v>42</v>
      </c>
      <c r="K19" s="7" t="s">
        <v>175</v>
      </c>
      <c r="L19" s="7" t="s">
        <v>176</v>
      </c>
    </row>
    <row r="20" customFormat="false" ht="15" hidden="false" customHeight="false" outlineLevel="0" collapsed="false">
      <c r="A20" s="7" t="s">
        <v>100</v>
      </c>
      <c r="B20" s="7" t="s">
        <v>273</v>
      </c>
      <c r="C20" s="7" t="s">
        <v>123</v>
      </c>
      <c r="D20" s="7" t="s">
        <v>39</v>
      </c>
      <c r="E20" s="7" t="s">
        <v>314</v>
      </c>
      <c r="F20" s="7" t="s">
        <v>327</v>
      </c>
      <c r="G20" s="7" t="s">
        <v>328</v>
      </c>
      <c r="H20" s="7" t="s">
        <v>329</v>
      </c>
      <c r="I20" s="7" t="s">
        <v>315</v>
      </c>
      <c r="J20" s="8" t="s">
        <v>42</v>
      </c>
      <c r="K20" s="7" t="s">
        <v>179</v>
      </c>
      <c r="L20" s="7" t="s">
        <v>182</v>
      </c>
    </row>
    <row r="21" customFormat="false" ht="15" hidden="false" customHeight="false" outlineLevel="0" collapsed="false">
      <c r="A21" s="7" t="s">
        <v>100</v>
      </c>
      <c r="B21" s="7" t="s">
        <v>273</v>
      </c>
      <c r="C21" s="7" t="s">
        <v>123</v>
      </c>
      <c r="D21" s="7" t="s">
        <v>39</v>
      </c>
      <c r="E21" s="7" t="s">
        <v>314</v>
      </c>
      <c r="F21" s="7" t="s">
        <v>327</v>
      </c>
      <c r="G21" s="7" t="s">
        <v>328</v>
      </c>
      <c r="H21" s="7" t="s">
        <v>329</v>
      </c>
      <c r="I21" s="7" t="s">
        <v>318</v>
      </c>
      <c r="J21" s="8" t="s">
        <v>42</v>
      </c>
      <c r="K21" s="7" t="s">
        <v>185</v>
      </c>
      <c r="L21" s="7" t="s">
        <v>186</v>
      </c>
    </row>
    <row r="22" customFormat="false" ht="15" hidden="false" customHeight="false" outlineLevel="0" collapsed="false">
      <c r="A22" s="7" t="s">
        <v>100</v>
      </c>
      <c r="B22" s="7" t="s">
        <v>273</v>
      </c>
      <c r="C22" s="7" t="s">
        <v>220</v>
      </c>
      <c r="D22" s="7" t="s">
        <v>39</v>
      </c>
      <c r="E22" s="7" t="s">
        <v>314</v>
      </c>
      <c r="F22" s="7" t="s">
        <v>330</v>
      </c>
      <c r="G22" s="7" t="s">
        <v>331</v>
      </c>
      <c r="H22" s="7" t="s">
        <v>332</v>
      </c>
      <c r="I22" s="7" t="s">
        <v>321</v>
      </c>
      <c r="J22" s="8" t="s">
        <v>42</v>
      </c>
      <c r="K22" s="7" t="s">
        <v>219</v>
      </c>
      <c r="L22" s="7" t="s">
        <v>223</v>
      </c>
    </row>
    <row r="23" customFormat="false" ht="15" hidden="false" customHeight="false" outlineLevel="0" collapsed="false">
      <c r="A23" s="7" t="s">
        <v>100</v>
      </c>
      <c r="B23" s="7" t="s">
        <v>273</v>
      </c>
      <c r="C23" s="7" t="s">
        <v>220</v>
      </c>
      <c r="D23" s="7" t="s">
        <v>39</v>
      </c>
      <c r="E23" s="7" t="s">
        <v>314</v>
      </c>
      <c r="F23" s="7" t="s">
        <v>333</v>
      </c>
      <c r="G23" s="7" t="s">
        <v>334</v>
      </c>
      <c r="H23" s="7" t="s">
        <v>335</v>
      </c>
      <c r="I23" s="7" t="s">
        <v>321</v>
      </c>
      <c r="J23" s="9" t="s">
        <v>230</v>
      </c>
      <c r="K23" s="7" t="s">
        <v>227</v>
      </c>
      <c r="L23" s="7" t="s">
        <v>231</v>
      </c>
    </row>
    <row r="24" customFormat="false" ht="15" hidden="false" customHeight="false" outlineLevel="0" collapsed="false">
      <c r="A24" s="7" t="s">
        <v>100</v>
      </c>
      <c r="B24" s="7" t="s">
        <v>273</v>
      </c>
      <c r="C24" s="7" t="s">
        <v>220</v>
      </c>
      <c r="D24" s="7" t="s">
        <v>39</v>
      </c>
      <c r="E24" s="7" t="s">
        <v>314</v>
      </c>
      <c r="F24" s="7" t="s">
        <v>336</v>
      </c>
      <c r="G24" s="7" t="s">
        <v>337</v>
      </c>
      <c r="H24" s="7" t="s">
        <v>338</v>
      </c>
      <c r="I24" s="7" t="s">
        <v>327</v>
      </c>
      <c r="J24" s="8" t="s">
        <v>42</v>
      </c>
      <c r="K24" s="7" t="s">
        <v>250</v>
      </c>
      <c r="L24" s="7" t="s">
        <v>253</v>
      </c>
    </row>
    <row r="25" customFormat="false" ht="23.85" hidden="false" customHeight="false" outlineLevel="0" collapsed="false">
      <c r="A25" s="7" t="s">
        <v>51</v>
      </c>
      <c r="B25" s="7" t="s">
        <v>339</v>
      </c>
      <c r="C25" s="7" t="s">
        <v>36</v>
      </c>
      <c r="D25" s="7" t="s">
        <v>72</v>
      </c>
      <c r="E25" s="7" t="s">
        <v>274</v>
      </c>
      <c r="F25" s="7" t="s">
        <v>275</v>
      </c>
      <c r="G25" s="7" t="s">
        <v>276</v>
      </c>
      <c r="H25" s="7" t="s">
        <v>277</v>
      </c>
      <c r="I25" s="7" t="s">
        <v>340</v>
      </c>
      <c r="J25" s="8" t="s">
        <v>42</v>
      </c>
      <c r="K25" s="7" t="s">
        <v>70</v>
      </c>
      <c r="L25" s="7" t="s">
        <v>75</v>
      </c>
    </row>
    <row r="26" customFormat="false" ht="15" hidden="false" customHeight="false" outlineLevel="0" collapsed="false">
      <c r="A26" s="7" t="s">
        <v>51</v>
      </c>
      <c r="B26" s="7" t="s">
        <v>339</v>
      </c>
      <c r="C26" s="7" t="s">
        <v>123</v>
      </c>
      <c r="D26" s="7" t="s">
        <v>72</v>
      </c>
      <c r="E26" s="7" t="s">
        <v>274</v>
      </c>
      <c r="F26" s="7" t="s">
        <v>279</v>
      </c>
      <c r="G26" s="7" t="s">
        <v>280</v>
      </c>
      <c r="H26" s="7" t="s">
        <v>281</v>
      </c>
      <c r="I26" s="7" t="s">
        <v>275</v>
      </c>
      <c r="J26" s="8" t="s">
        <v>42</v>
      </c>
      <c r="K26" s="7" t="s">
        <v>139</v>
      </c>
      <c r="L26" s="7" t="s">
        <v>142</v>
      </c>
    </row>
    <row r="27" customFormat="false" ht="15" hidden="false" customHeight="false" outlineLevel="0" collapsed="false">
      <c r="A27" s="7" t="s">
        <v>51</v>
      </c>
      <c r="B27" s="7" t="s">
        <v>339</v>
      </c>
      <c r="C27" s="7" t="s">
        <v>123</v>
      </c>
      <c r="D27" s="7" t="s">
        <v>72</v>
      </c>
      <c r="E27" s="7" t="s">
        <v>274</v>
      </c>
      <c r="F27" s="7" t="s">
        <v>282</v>
      </c>
      <c r="G27" s="7" t="s">
        <v>283</v>
      </c>
      <c r="H27" s="7" t="s">
        <v>284</v>
      </c>
      <c r="I27" s="7" t="s">
        <v>275</v>
      </c>
      <c r="J27" s="8" t="s">
        <v>42</v>
      </c>
      <c r="K27" s="7" t="s">
        <v>158</v>
      </c>
      <c r="L27" s="7" t="s">
        <v>161</v>
      </c>
    </row>
    <row r="28" customFormat="false" ht="15" hidden="false" customHeight="false" outlineLevel="0" collapsed="false">
      <c r="A28" s="7" t="s">
        <v>51</v>
      </c>
      <c r="B28" s="7" t="s">
        <v>339</v>
      </c>
      <c r="C28" s="7" t="s">
        <v>123</v>
      </c>
      <c r="D28" s="7" t="s">
        <v>72</v>
      </c>
      <c r="E28" s="7" t="s">
        <v>274</v>
      </c>
      <c r="F28" s="7" t="s">
        <v>285</v>
      </c>
      <c r="G28" s="7" t="s">
        <v>286</v>
      </c>
      <c r="H28" s="7" t="s">
        <v>287</v>
      </c>
      <c r="I28" s="7" t="s">
        <v>275</v>
      </c>
      <c r="J28" s="8" t="s">
        <v>42</v>
      </c>
      <c r="K28" s="7" t="s">
        <v>213</v>
      </c>
      <c r="L28" s="7" t="s">
        <v>216</v>
      </c>
    </row>
    <row r="29" customFormat="false" ht="15" hidden="false" customHeight="false" outlineLevel="0" collapsed="false">
      <c r="A29" s="7" t="s">
        <v>51</v>
      </c>
      <c r="B29" s="7" t="s">
        <v>339</v>
      </c>
      <c r="C29" s="7" t="s">
        <v>220</v>
      </c>
      <c r="D29" s="7" t="s">
        <v>72</v>
      </c>
      <c r="E29" s="7" t="s">
        <v>274</v>
      </c>
      <c r="F29" s="7" t="s">
        <v>288</v>
      </c>
      <c r="G29" s="7" t="s">
        <v>289</v>
      </c>
      <c r="H29" s="7" t="s">
        <v>290</v>
      </c>
      <c r="I29" s="7" t="s">
        <v>279</v>
      </c>
      <c r="J29" s="8" t="s">
        <v>42</v>
      </c>
      <c r="K29" s="7" t="s">
        <v>236</v>
      </c>
      <c r="L29" s="7" t="s">
        <v>240</v>
      </c>
    </row>
    <row r="30" customFormat="false" ht="15" hidden="false" customHeight="false" outlineLevel="0" collapsed="false">
      <c r="A30" s="7" t="s">
        <v>51</v>
      </c>
      <c r="B30" s="7" t="s">
        <v>339</v>
      </c>
      <c r="C30" s="7" t="s">
        <v>220</v>
      </c>
      <c r="D30" s="7" t="s">
        <v>72</v>
      </c>
      <c r="E30" s="7" t="s">
        <v>274</v>
      </c>
      <c r="F30" s="7" t="s">
        <v>291</v>
      </c>
      <c r="G30" s="7" t="s">
        <v>292</v>
      </c>
      <c r="H30" s="7" t="s">
        <v>293</v>
      </c>
      <c r="I30" s="7" t="s">
        <v>279</v>
      </c>
      <c r="J30" s="8" t="s">
        <v>42</v>
      </c>
      <c r="K30" s="7" t="s">
        <v>244</v>
      </c>
      <c r="L30" s="7" t="s">
        <v>247</v>
      </c>
    </row>
    <row r="31" customFormat="false" ht="23.85" hidden="false" customHeight="false" outlineLevel="0" collapsed="false">
      <c r="A31" s="7" t="s">
        <v>51</v>
      </c>
      <c r="B31" s="7" t="s">
        <v>339</v>
      </c>
      <c r="C31" s="7" t="s">
        <v>36</v>
      </c>
      <c r="D31" s="7" t="s">
        <v>81</v>
      </c>
      <c r="E31" s="7" t="s">
        <v>294</v>
      </c>
      <c r="F31" s="7" t="s">
        <v>295</v>
      </c>
      <c r="G31" s="7" t="s">
        <v>296</v>
      </c>
      <c r="H31" s="7" t="s">
        <v>297</v>
      </c>
      <c r="I31" s="7" t="s">
        <v>340</v>
      </c>
      <c r="J31" s="8" t="s">
        <v>42</v>
      </c>
      <c r="K31" s="7" t="s">
        <v>79</v>
      </c>
      <c r="L31" s="7" t="s">
        <v>84</v>
      </c>
    </row>
    <row r="32" customFormat="false" ht="15" hidden="false" customHeight="false" outlineLevel="0" collapsed="false">
      <c r="A32" s="7" t="s">
        <v>51</v>
      </c>
      <c r="B32" s="7" t="s">
        <v>339</v>
      </c>
      <c r="C32" s="7" t="s">
        <v>123</v>
      </c>
      <c r="D32" s="7" t="s">
        <v>81</v>
      </c>
      <c r="E32" s="7" t="s">
        <v>294</v>
      </c>
      <c r="F32" s="7" t="s">
        <v>298</v>
      </c>
      <c r="G32" s="7" t="s">
        <v>299</v>
      </c>
      <c r="H32" s="7" t="s">
        <v>300</v>
      </c>
      <c r="I32" s="7" t="s">
        <v>295</v>
      </c>
      <c r="J32" s="8" t="s">
        <v>42</v>
      </c>
      <c r="K32" s="7" t="s">
        <v>189</v>
      </c>
      <c r="L32" s="7" t="s">
        <v>192</v>
      </c>
    </row>
    <row r="33" customFormat="false" ht="15" hidden="false" customHeight="false" outlineLevel="0" collapsed="false">
      <c r="A33" s="7" t="s">
        <v>51</v>
      </c>
      <c r="B33" s="7" t="s">
        <v>339</v>
      </c>
      <c r="C33" s="7" t="s">
        <v>123</v>
      </c>
      <c r="D33" s="7" t="s">
        <v>81</v>
      </c>
      <c r="E33" s="7" t="s">
        <v>294</v>
      </c>
      <c r="F33" s="7" t="s">
        <v>301</v>
      </c>
      <c r="G33" s="7" t="s">
        <v>302</v>
      </c>
      <c r="H33" s="7" t="s">
        <v>303</v>
      </c>
      <c r="I33" s="7" t="s">
        <v>295</v>
      </c>
      <c r="J33" s="8" t="s">
        <v>42</v>
      </c>
      <c r="K33" s="7" t="s">
        <v>195</v>
      </c>
      <c r="L33" s="7" t="s">
        <v>198</v>
      </c>
    </row>
    <row r="34" customFormat="false" ht="15" hidden="false" customHeight="false" outlineLevel="0" collapsed="false">
      <c r="A34" s="7" t="s">
        <v>51</v>
      </c>
      <c r="B34" s="7" t="s">
        <v>339</v>
      </c>
      <c r="C34" s="7" t="s">
        <v>220</v>
      </c>
      <c r="D34" s="7" t="s">
        <v>81</v>
      </c>
      <c r="E34" s="7" t="s">
        <v>294</v>
      </c>
      <c r="F34" s="7" t="s">
        <v>304</v>
      </c>
      <c r="G34" s="7" t="s">
        <v>305</v>
      </c>
      <c r="H34" s="7" t="s">
        <v>306</v>
      </c>
      <c r="I34" s="7" t="s">
        <v>298</v>
      </c>
      <c r="J34" s="8" t="s">
        <v>42</v>
      </c>
      <c r="K34" s="7" t="s">
        <v>257</v>
      </c>
      <c r="L34" s="7" t="s">
        <v>260</v>
      </c>
    </row>
    <row r="35" customFormat="false" ht="15" hidden="false" customHeight="false" outlineLevel="0" collapsed="false">
      <c r="A35" s="7" t="s">
        <v>51</v>
      </c>
      <c r="B35" s="7" t="s">
        <v>339</v>
      </c>
      <c r="C35" s="7" t="s">
        <v>36</v>
      </c>
      <c r="D35" s="7" t="s">
        <v>90</v>
      </c>
      <c r="E35" s="7" t="s">
        <v>341</v>
      </c>
      <c r="F35" s="7" t="s">
        <v>342</v>
      </c>
      <c r="G35" s="7" t="s">
        <v>343</v>
      </c>
      <c r="H35" s="7" t="s">
        <v>344</v>
      </c>
      <c r="I35" s="7" t="s">
        <v>340</v>
      </c>
      <c r="J35" s="8" t="s">
        <v>42</v>
      </c>
      <c r="K35" s="7" t="s">
        <v>88</v>
      </c>
      <c r="L35" s="7" t="s">
        <v>93</v>
      </c>
    </row>
    <row r="36" customFormat="false" ht="15" hidden="false" customHeight="false" outlineLevel="0" collapsed="false">
      <c r="A36" s="7" t="s">
        <v>51</v>
      </c>
      <c r="B36" s="7" t="s">
        <v>339</v>
      </c>
      <c r="C36" s="7" t="s">
        <v>123</v>
      </c>
      <c r="D36" s="7" t="s">
        <v>90</v>
      </c>
      <c r="E36" s="7" t="s">
        <v>341</v>
      </c>
      <c r="F36" s="7" t="s">
        <v>345</v>
      </c>
      <c r="G36" s="7" t="s">
        <v>346</v>
      </c>
      <c r="H36" s="7" t="s">
        <v>347</v>
      </c>
      <c r="I36" s="7" t="s">
        <v>342</v>
      </c>
      <c r="J36" s="8" t="s">
        <v>42</v>
      </c>
      <c r="K36" s="7" t="s">
        <v>201</v>
      </c>
      <c r="L36" s="7" t="s">
        <v>204</v>
      </c>
    </row>
    <row r="37" customFormat="false" ht="23.85" hidden="false" customHeight="false" outlineLevel="0" collapsed="false">
      <c r="A37" s="7" t="s">
        <v>51</v>
      </c>
      <c r="B37" s="7" t="s">
        <v>339</v>
      </c>
      <c r="C37" s="7" t="s">
        <v>36</v>
      </c>
      <c r="D37" s="7" t="s">
        <v>50</v>
      </c>
      <c r="E37" s="7" t="s">
        <v>348</v>
      </c>
      <c r="F37" s="7" t="s">
        <v>315</v>
      </c>
      <c r="G37" s="7" t="s">
        <v>316</v>
      </c>
      <c r="H37" s="7" t="s">
        <v>317</v>
      </c>
      <c r="I37" s="7" t="s">
        <v>340</v>
      </c>
      <c r="J37" s="8" t="s">
        <v>42</v>
      </c>
      <c r="K37" s="7" t="s">
        <v>49</v>
      </c>
      <c r="L37" s="7" t="s">
        <v>52</v>
      </c>
    </row>
    <row r="38" customFormat="false" ht="23.85" hidden="false" customHeight="false" outlineLevel="0" collapsed="false">
      <c r="A38" s="7" t="s">
        <v>51</v>
      </c>
      <c r="B38" s="7" t="s">
        <v>339</v>
      </c>
      <c r="C38" s="7" t="s">
        <v>36</v>
      </c>
      <c r="D38" s="7" t="s">
        <v>50</v>
      </c>
      <c r="E38" s="7" t="s">
        <v>348</v>
      </c>
      <c r="F38" s="7" t="s">
        <v>318</v>
      </c>
      <c r="G38" s="7" t="s">
        <v>319</v>
      </c>
      <c r="H38" s="7" t="s">
        <v>320</v>
      </c>
      <c r="I38" s="7" t="s">
        <v>340</v>
      </c>
      <c r="J38" s="8" t="s">
        <v>42</v>
      </c>
      <c r="K38" s="7" t="s">
        <v>65</v>
      </c>
      <c r="L38" s="7" t="s">
        <v>66</v>
      </c>
    </row>
    <row r="39" customFormat="false" ht="23.85" hidden="false" customHeight="false" outlineLevel="0" collapsed="false">
      <c r="A39" s="7" t="s">
        <v>51</v>
      </c>
      <c r="B39" s="7" t="s">
        <v>339</v>
      </c>
      <c r="C39" s="7" t="s">
        <v>123</v>
      </c>
      <c r="D39" s="7" t="s">
        <v>50</v>
      </c>
      <c r="E39" s="7" t="s">
        <v>348</v>
      </c>
      <c r="F39" s="7" t="s">
        <v>321</v>
      </c>
      <c r="G39" s="7" t="s">
        <v>322</v>
      </c>
      <c r="H39" s="7" t="s">
        <v>323</v>
      </c>
      <c r="I39" s="7" t="s">
        <v>315</v>
      </c>
      <c r="J39" s="8" t="s">
        <v>42</v>
      </c>
      <c r="K39" s="7" t="s">
        <v>122</v>
      </c>
      <c r="L39" s="7" t="s">
        <v>127</v>
      </c>
    </row>
    <row r="40" customFormat="false" ht="23.85" hidden="false" customHeight="false" outlineLevel="0" collapsed="false">
      <c r="A40" s="7" t="s">
        <v>51</v>
      </c>
      <c r="B40" s="7" t="s">
        <v>339</v>
      </c>
      <c r="C40" s="7" t="s">
        <v>123</v>
      </c>
      <c r="D40" s="7" t="s">
        <v>50</v>
      </c>
      <c r="E40" s="7" t="s">
        <v>348</v>
      </c>
      <c r="F40" s="7" t="s">
        <v>321</v>
      </c>
      <c r="G40" s="7" t="s">
        <v>322</v>
      </c>
      <c r="H40" s="7" t="s">
        <v>323</v>
      </c>
      <c r="I40" s="7" t="s">
        <v>318</v>
      </c>
      <c r="J40" s="8" t="s">
        <v>42</v>
      </c>
      <c r="K40" s="7" t="s">
        <v>133</v>
      </c>
      <c r="L40" s="7" t="s">
        <v>134</v>
      </c>
    </row>
    <row r="41" customFormat="false" ht="23.85" hidden="false" customHeight="false" outlineLevel="0" collapsed="false">
      <c r="A41" s="7" t="s">
        <v>51</v>
      </c>
      <c r="B41" s="7" t="s">
        <v>339</v>
      </c>
      <c r="C41" s="7" t="s">
        <v>123</v>
      </c>
      <c r="D41" s="7" t="s">
        <v>50</v>
      </c>
      <c r="E41" s="7" t="s">
        <v>348</v>
      </c>
      <c r="F41" s="7" t="s">
        <v>324</v>
      </c>
      <c r="G41" s="7" t="s">
        <v>325</v>
      </c>
      <c r="H41" s="7" t="s">
        <v>326</v>
      </c>
      <c r="I41" s="7" t="s">
        <v>315</v>
      </c>
      <c r="J41" s="8" t="s">
        <v>42</v>
      </c>
      <c r="K41" s="7" t="s">
        <v>169</v>
      </c>
      <c r="L41" s="7" t="s">
        <v>172</v>
      </c>
    </row>
    <row r="42" customFormat="false" ht="23.85" hidden="false" customHeight="false" outlineLevel="0" collapsed="false">
      <c r="A42" s="7" t="s">
        <v>51</v>
      </c>
      <c r="B42" s="7" t="s">
        <v>339</v>
      </c>
      <c r="C42" s="7" t="s">
        <v>123</v>
      </c>
      <c r="D42" s="7" t="s">
        <v>50</v>
      </c>
      <c r="E42" s="7" t="s">
        <v>348</v>
      </c>
      <c r="F42" s="7" t="s">
        <v>324</v>
      </c>
      <c r="G42" s="7" t="s">
        <v>325</v>
      </c>
      <c r="H42" s="7" t="s">
        <v>326</v>
      </c>
      <c r="I42" s="7" t="s">
        <v>318</v>
      </c>
      <c r="J42" s="8" t="s">
        <v>42</v>
      </c>
      <c r="K42" s="7" t="s">
        <v>175</v>
      </c>
      <c r="L42" s="7" t="s">
        <v>176</v>
      </c>
    </row>
    <row r="43" customFormat="false" ht="23.85" hidden="false" customHeight="false" outlineLevel="0" collapsed="false">
      <c r="A43" s="7" t="s">
        <v>51</v>
      </c>
      <c r="B43" s="7" t="s">
        <v>339</v>
      </c>
      <c r="C43" s="7" t="s">
        <v>123</v>
      </c>
      <c r="D43" s="7" t="s">
        <v>50</v>
      </c>
      <c r="E43" s="7" t="s">
        <v>348</v>
      </c>
      <c r="F43" s="7" t="s">
        <v>327</v>
      </c>
      <c r="G43" s="7" t="s">
        <v>328</v>
      </c>
      <c r="H43" s="7" t="s">
        <v>329</v>
      </c>
      <c r="I43" s="7" t="s">
        <v>315</v>
      </c>
      <c r="J43" s="8" t="s">
        <v>42</v>
      </c>
      <c r="K43" s="7" t="s">
        <v>179</v>
      </c>
      <c r="L43" s="7" t="s">
        <v>182</v>
      </c>
    </row>
    <row r="44" customFormat="false" ht="23.85" hidden="false" customHeight="false" outlineLevel="0" collapsed="false">
      <c r="A44" s="7" t="s">
        <v>51</v>
      </c>
      <c r="B44" s="7" t="s">
        <v>339</v>
      </c>
      <c r="C44" s="7" t="s">
        <v>123</v>
      </c>
      <c r="D44" s="7" t="s">
        <v>50</v>
      </c>
      <c r="E44" s="7" t="s">
        <v>348</v>
      </c>
      <c r="F44" s="7" t="s">
        <v>327</v>
      </c>
      <c r="G44" s="7" t="s">
        <v>328</v>
      </c>
      <c r="H44" s="7" t="s">
        <v>329</v>
      </c>
      <c r="I44" s="7" t="s">
        <v>318</v>
      </c>
      <c r="J44" s="8" t="s">
        <v>42</v>
      </c>
      <c r="K44" s="7" t="s">
        <v>185</v>
      </c>
      <c r="L44" s="7" t="s">
        <v>186</v>
      </c>
    </row>
    <row r="45" customFormat="false" ht="23.85" hidden="false" customHeight="false" outlineLevel="0" collapsed="false">
      <c r="A45" s="7" t="s">
        <v>51</v>
      </c>
      <c r="B45" s="7" t="s">
        <v>339</v>
      </c>
      <c r="C45" s="7" t="s">
        <v>220</v>
      </c>
      <c r="D45" s="7" t="s">
        <v>50</v>
      </c>
      <c r="E45" s="7" t="s">
        <v>348</v>
      </c>
      <c r="F45" s="7" t="s">
        <v>330</v>
      </c>
      <c r="G45" s="7" t="s">
        <v>331</v>
      </c>
      <c r="H45" s="7" t="s">
        <v>332</v>
      </c>
      <c r="I45" s="7" t="s">
        <v>321</v>
      </c>
      <c r="J45" s="8" t="s">
        <v>42</v>
      </c>
      <c r="K45" s="7" t="s">
        <v>219</v>
      </c>
      <c r="L45" s="7" t="s">
        <v>223</v>
      </c>
    </row>
    <row r="46" customFormat="false" ht="23.85" hidden="false" customHeight="false" outlineLevel="0" collapsed="false">
      <c r="A46" s="7" t="s">
        <v>51</v>
      </c>
      <c r="B46" s="7" t="s">
        <v>339</v>
      </c>
      <c r="C46" s="7" t="s">
        <v>220</v>
      </c>
      <c r="D46" s="7" t="s">
        <v>50</v>
      </c>
      <c r="E46" s="7" t="s">
        <v>348</v>
      </c>
      <c r="F46" s="7" t="s">
        <v>333</v>
      </c>
      <c r="G46" s="7" t="s">
        <v>334</v>
      </c>
      <c r="H46" s="7" t="s">
        <v>335</v>
      </c>
      <c r="I46" s="7" t="s">
        <v>321</v>
      </c>
      <c r="J46" s="9" t="s">
        <v>230</v>
      </c>
      <c r="K46" s="7" t="s">
        <v>227</v>
      </c>
      <c r="L46" s="7" t="s">
        <v>231</v>
      </c>
    </row>
    <row r="47" customFormat="false" ht="23.85" hidden="false" customHeight="false" outlineLevel="0" collapsed="false">
      <c r="A47" s="7" t="s">
        <v>51</v>
      </c>
      <c r="B47" s="7" t="s">
        <v>339</v>
      </c>
      <c r="C47" s="7" t="s">
        <v>220</v>
      </c>
      <c r="D47" s="7" t="s">
        <v>50</v>
      </c>
      <c r="E47" s="7" t="s">
        <v>348</v>
      </c>
      <c r="F47" s="7" t="s">
        <v>336</v>
      </c>
      <c r="G47" s="7" t="s">
        <v>337</v>
      </c>
      <c r="H47" s="7" t="s">
        <v>338</v>
      </c>
      <c r="I47" s="7" t="s">
        <v>327</v>
      </c>
      <c r="J47" s="8" t="s">
        <v>42</v>
      </c>
      <c r="K47" s="7" t="s">
        <v>250</v>
      </c>
      <c r="L47" s="7" t="s">
        <v>253</v>
      </c>
    </row>
    <row r="48" customFormat="false" ht="15" hidden="false" customHeight="false" outlineLevel="0" collapsed="false">
      <c r="A48" s="7" t="s">
        <v>109</v>
      </c>
      <c r="B48" s="7" t="s">
        <v>349</v>
      </c>
      <c r="C48" s="7" t="s">
        <v>36</v>
      </c>
      <c r="D48" s="7" t="s">
        <v>108</v>
      </c>
      <c r="E48" s="7" t="s">
        <v>350</v>
      </c>
      <c r="F48" s="7" t="s">
        <v>351</v>
      </c>
      <c r="G48" s="7" t="s">
        <v>352</v>
      </c>
      <c r="H48" s="7" t="s">
        <v>353</v>
      </c>
      <c r="I48" s="7" t="s">
        <v>354</v>
      </c>
      <c r="J48" s="8" t="s">
        <v>42</v>
      </c>
      <c r="K48" s="7" t="s">
        <v>106</v>
      </c>
      <c r="L48" s="7" t="s">
        <v>111</v>
      </c>
    </row>
    <row r="49" customFormat="false" ht="15" hidden="false" customHeight="false" outlineLevel="0" collapsed="false">
      <c r="A49" s="7" t="s">
        <v>109</v>
      </c>
      <c r="B49" s="7" t="s">
        <v>349</v>
      </c>
      <c r="C49" s="7" t="s">
        <v>36</v>
      </c>
      <c r="D49" s="7" t="s">
        <v>108</v>
      </c>
      <c r="E49" s="7" t="s">
        <v>350</v>
      </c>
      <c r="F49" s="7" t="s">
        <v>355</v>
      </c>
      <c r="G49" s="7" t="s">
        <v>356</v>
      </c>
      <c r="H49" s="7" t="s">
        <v>357</v>
      </c>
      <c r="I49" s="7" t="s">
        <v>354</v>
      </c>
      <c r="J49" s="8" t="s">
        <v>42</v>
      </c>
      <c r="K49" s="7" t="s">
        <v>115</v>
      </c>
      <c r="L49" s="7" t="s">
        <v>118</v>
      </c>
    </row>
    <row r="50" customFormat="false" ht="15" hidden="false" customHeight="false" outlineLevel="0" collapsed="false">
      <c r="A50" s="7" t="s">
        <v>109</v>
      </c>
      <c r="B50" s="7" t="s">
        <v>349</v>
      </c>
      <c r="C50" s="7" t="s">
        <v>123</v>
      </c>
      <c r="D50" s="7" t="s">
        <v>108</v>
      </c>
      <c r="E50" s="7" t="s">
        <v>350</v>
      </c>
      <c r="F50" s="7" t="s">
        <v>279</v>
      </c>
      <c r="G50" s="7" t="s">
        <v>280</v>
      </c>
      <c r="H50" s="7" t="s">
        <v>281</v>
      </c>
      <c r="I50" s="7" t="s">
        <v>351</v>
      </c>
      <c r="J50" s="8" t="s">
        <v>42</v>
      </c>
      <c r="K50" s="7" t="s">
        <v>148</v>
      </c>
      <c r="L50" s="7" t="s">
        <v>149</v>
      </c>
    </row>
    <row r="51" customFormat="false" ht="15" hidden="false" customHeight="false" outlineLevel="0" collapsed="false">
      <c r="A51" s="7" t="s">
        <v>109</v>
      </c>
      <c r="B51" s="7" t="s">
        <v>349</v>
      </c>
      <c r="C51" s="7" t="s">
        <v>123</v>
      </c>
      <c r="D51" s="7" t="s">
        <v>108</v>
      </c>
      <c r="E51" s="7" t="s">
        <v>350</v>
      </c>
      <c r="F51" s="7" t="s">
        <v>279</v>
      </c>
      <c r="G51" s="7" t="s">
        <v>280</v>
      </c>
      <c r="H51" s="7" t="s">
        <v>281</v>
      </c>
      <c r="I51" s="7" t="s">
        <v>355</v>
      </c>
      <c r="J51" s="8" t="s">
        <v>42</v>
      </c>
      <c r="K51" s="7" t="s">
        <v>153</v>
      </c>
      <c r="L51" s="7" t="s">
        <v>154</v>
      </c>
    </row>
    <row r="52" customFormat="false" ht="15" hidden="false" customHeight="false" outlineLevel="0" collapsed="false">
      <c r="A52" s="7" t="s">
        <v>109</v>
      </c>
      <c r="B52" s="7" t="s">
        <v>349</v>
      </c>
      <c r="C52" s="7" t="s">
        <v>123</v>
      </c>
      <c r="D52" s="7" t="s">
        <v>108</v>
      </c>
      <c r="E52" s="7" t="s">
        <v>350</v>
      </c>
      <c r="F52" s="7" t="s">
        <v>282</v>
      </c>
      <c r="G52" s="7" t="s">
        <v>283</v>
      </c>
      <c r="H52" s="7" t="s">
        <v>284</v>
      </c>
      <c r="I52" s="7" t="s">
        <v>351</v>
      </c>
      <c r="J52" s="8" t="s">
        <v>42</v>
      </c>
      <c r="K52" s="7" t="s">
        <v>165</v>
      </c>
      <c r="L52" s="7" t="s">
        <v>166</v>
      </c>
    </row>
    <row r="53" customFormat="false" ht="15" hidden="false" customHeight="false" outlineLevel="0" collapsed="false">
      <c r="A53" s="7" t="s">
        <v>109</v>
      </c>
      <c r="B53" s="7" t="s">
        <v>349</v>
      </c>
      <c r="C53" s="7" t="s">
        <v>220</v>
      </c>
      <c r="D53" s="7" t="s">
        <v>108</v>
      </c>
      <c r="E53" s="7" t="s">
        <v>350</v>
      </c>
      <c r="F53" s="7" t="s">
        <v>288</v>
      </c>
      <c r="G53" s="7" t="s">
        <v>289</v>
      </c>
      <c r="H53" s="7" t="s">
        <v>290</v>
      </c>
      <c r="I53" s="7" t="s">
        <v>279</v>
      </c>
      <c r="J53" s="8" t="s">
        <v>42</v>
      </c>
      <c r="K53" s="7" t="s">
        <v>236</v>
      </c>
      <c r="L53" s="7" t="s">
        <v>240</v>
      </c>
    </row>
    <row r="54" customFormat="false" ht="15" hidden="false" customHeight="false" outlineLevel="0" collapsed="false">
      <c r="A54" s="7" t="s">
        <v>109</v>
      </c>
      <c r="B54" s="7" t="s">
        <v>349</v>
      </c>
      <c r="C54" s="7" t="s">
        <v>220</v>
      </c>
      <c r="D54" s="7" t="s">
        <v>108</v>
      </c>
      <c r="E54" s="7" t="s">
        <v>350</v>
      </c>
      <c r="F54" s="7" t="s">
        <v>291</v>
      </c>
      <c r="G54" s="7" t="s">
        <v>292</v>
      </c>
      <c r="H54" s="7" t="s">
        <v>293</v>
      </c>
      <c r="I54" s="7" t="s">
        <v>279</v>
      </c>
      <c r="J54" s="8" t="s">
        <v>42</v>
      </c>
      <c r="K54" s="7" t="s">
        <v>244</v>
      </c>
      <c r="L54" s="7" t="s">
        <v>247</v>
      </c>
    </row>
    <row r="55" customFormat="false" ht="23.85" hidden="false" customHeight="false" outlineLevel="0" collapsed="false">
      <c r="A55" s="7" t="s">
        <v>109</v>
      </c>
      <c r="B55" s="7" t="s">
        <v>349</v>
      </c>
      <c r="C55" s="7" t="s">
        <v>36</v>
      </c>
      <c r="D55" s="7" t="s">
        <v>72</v>
      </c>
      <c r="E55" s="7" t="s">
        <v>274</v>
      </c>
      <c r="F55" s="7" t="s">
        <v>275</v>
      </c>
      <c r="G55" s="7" t="s">
        <v>276</v>
      </c>
      <c r="H55" s="7" t="s">
        <v>277</v>
      </c>
      <c r="I55" s="7" t="s">
        <v>354</v>
      </c>
      <c r="J55" s="8" t="s">
        <v>42</v>
      </c>
      <c r="K55" s="7" t="s">
        <v>70</v>
      </c>
      <c r="L55" s="7" t="s">
        <v>75</v>
      </c>
    </row>
    <row r="56" customFormat="false" ht="15" hidden="false" customHeight="false" outlineLevel="0" collapsed="false">
      <c r="A56" s="7" t="s">
        <v>109</v>
      </c>
      <c r="B56" s="7" t="s">
        <v>349</v>
      </c>
      <c r="C56" s="7" t="s">
        <v>123</v>
      </c>
      <c r="D56" s="7" t="s">
        <v>72</v>
      </c>
      <c r="E56" s="7" t="s">
        <v>274</v>
      </c>
      <c r="F56" s="7" t="s">
        <v>279</v>
      </c>
      <c r="G56" s="7" t="s">
        <v>280</v>
      </c>
      <c r="H56" s="7" t="s">
        <v>281</v>
      </c>
      <c r="I56" s="7" t="s">
        <v>275</v>
      </c>
      <c r="J56" s="8" t="s">
        <v>42</v>
      </c>
      <c r="K56" s="7" t="s">
        <v>139</v>
      </c>
      <c r="L56" s="7" t="s">
        <v>142</v>
      </c>
    </row>
    <row r="57" customFormat="false" ht="15" hidden="false" customHeight="false" outlineLevel="0" collapsed="false">
      <c r="A57" s="7" t="s">
        <v>109</v>
      </c>
      <c r="B57" s="7" t="s">
        <v>349</v>
      </c>
      <c r="C57" s="7" t="s">
        <v>123</v>
      </c>
      <c r="D57" s="7" t="s">
        <v>72</v>
      </c>
      <c r="E57" s="7" t="s">
        <v>274</v>
      </c>
      <c r="F57" s="7" t="s">
        <v>282</v>
      </c>
      <c r="G57" s="7" t="s">
        <v>283</v>
      </c>
      <c r="H57" s="7" t="s">
        <v>284</v>
      </c>
      <c r="I57" s="7" t="s">
        <v>275</v>
      </c>
      <c r="J57" s="8" t="s">
        <v>42</v>
      </c>
      <c r="K57" s="7" t="s">
        <v>158</v>
      </c>
      <c r="L57" s="7" t="s">
        <v>161</v>
      </c>
    </row>
    <row r="58" customFormat="false" ht="15" hidden="false" customHeight="false" outlineLevel="0" collapsed="false">
      <c r="A58" s="7" t="s">
        <v>109</v>
      </c>
      <c r="B58" s="7" t="s">
        <v>349</v>
      </c>
      <c r="C58" s="7" t="s">
        <v>123</v>
      </c>
      <c r="D58" s="7" t="s">
        <v>72</v>
      </c>
      <c r="E58" s="7" t="s">
        <v>274</v>
      </c>
      <c r="F58" s="7" t="s">
        <v>285</v>
      </c>
      <c r="G58" s="7" t="s">
        <v>286</v>
      </c>
      <c r="H58" s="7" t="s">
        <v>287</v>
      </c>
      <c r="I58" s="7" t="s">
        <v>275</v>
      </c>
      <c r="J58" s="8" t="s">
        <v>42</v>
      </c>
      <c r="K58" s="7" t="s">
        <v>213</v>
      </c>
      <c r="L58" s="7" t="s">
        <v>216</v>
      </c>
    </row>
    <row r="59" customFormat="false" ht="15" hidden="false" customHeight="false" outlineLevel="0" collapsed="false">
      <c r="A59" s="7" t="s">
        <v>109</v>
      </c>
      <c r="B59" s="7" t="s">
        <v>349</v>
      </c>
      <c r="C59" s="7" t="s">
        <v>220</v>
      </c>
      <c r="D59" s="7" t="s">
        <v>72</v>
      </c>
      <c r="E59" s="7" t="s">
        <v>274</v>
      </c>
      <c r="F59" s="7" t="s">
        <v>288</v>
      </c>
      <c r="G59" s="7" t="s">
        <v>289</v>
      </c>
      <c r="H59" s="7" t="s">
        <v>290</v>
      </c>
      <c r="I59" s="7" t="s">
        <v>279</v>
      </c>
      <c r="J59" s="8" t="s">
        <v>42</v>
      </c>
      <c r="K59" s="7" t="s">
        <v>236</v>
      </c>
      <c r="L59" s="7" t="s">
        <v>240</v>
      </c>
    </row>
    <row r="60" customFormat="false" ht="15" hidden="false" customHeight="false" outlineLevel="0" collapsed="false">
      <c r="A60" s="7" t="s">
        <v>109</v>
      </c>
      <c r="B60" s="7" t="s">
        <v>349</v>
      </c>
      <c r="C60" s="7" t="s">
        <v>220</v>
      </c>
      <c r="D60" s="7" t="s">
        <v>72</v>
      </c>
      <c r="E60" s="7" t="s">
        <v>274</v>
      </c>
      <c r="F60" s="7" t="s">
        <v>291</v>
      </c>
      <c r="G60" s="7" t="s">
        <v>292</v>
      </c>
      <c r="H60" s="7" t="s">
        <v>293</v>
      </c>
      <c r="I60" s="7" t="s">
        <v>279</v>
      </c>
      <c r="J60" s="8" t="s">
        <v>42</v>
      </c>
      <c r="K60" s="7" t="s">
        <v>244</v>
      </c>
      <c r="L60" s="7" t="s">
        <v>247</v>
      </c>
    </row>
    <row r="61" customFormat="false" ht="15" hidden="false" customHeight="false" outlineLevel="0" collapsed="false">
      <c r="A61" s="7" t="s">
        <v>109</v>
      </c>
      <c r="B61" s="7" t="s">
        <v>349</v>
      </c>
      <c r="C61" s="7" t="s">
        <v>36</v>
      </c>
      <c r="D61" s="7" t="s">
        <v>90</v>
      </c>
      <c r="E61" s="7" t="s">
        <v>341</v>
      </c>
      <c r="F61" s="7" t="s">
        <v>342</v>
      </c>
      <c r="G61" s="7" t="s">
        <v>343</v>
      </c>
      <c r="H61" s="7" t="s">
        <v>344</v>
      </c>
      <c r="I61" s="7" t="s">
        <v>354</v>
      </c>
      <c r="J61" s="8" t="s">
        <v>42</v>
      </c>
      <c r="K61" s="7" t="s">
        <v>88</v>
      </c>
      <c r="L61" s="7" t="s">
        <v>93</v>
      </c>
    </row>
    <row r="62" customFormat="false" ht="15" hidden="false" customHeight="false" outlineLevel="0" collapsed="false">
      <c r="A62" s="7" t="s">
        <v>109</v>
      </c>
      <c r="B62" s="7" t="s">
        <v>349</v>
      </c>
      <c r="C62" s="7" t="s">
        <v>123</v>
      </c>
      <c r="D62" s="7" t="s">
        <v>90</v>
      </c>
      <c r="E62" s="7" t="s">
        <v>341</v>
      </c>
      <c r="F62" s="7" t="s">
        <v>345</v>
      </c>
      <c r="G62" s="7" t="s">
        <v>346</v>
      </c>
      <c r="H62" s="7" t="s">
        <v>347</v>
      </c>
      <c r="I62" s="7" t="s">
        <v>342</v>
      </c>
      <c r="J62" s="8" t="s">
        <v>42</v>
      </c>
      <c r="K62" s="7" t="s">
        <v>201</v>
      </c>
      <c r="L62" s="7" t="s">
        <v>204</v>
      </c>
    </row>
    <row r="63" customFormat="false" ht="23.85" hidden="false" customHeight="false" outlineLevel="0" collapsed="false">
      <c r="A63" s="7" t="s">
        <v>109</v>
      </c>
      <c r="B63" s="7" t="s">
        <v>349</v>
      </c>
      <c r="C63" s="7" t="s">
        <v>36</v>
      </c>
      <c r="D63" s="7" t="s">
        <v>39</v>
      </c>
      <c r="E63" s="7" t="s">
        <v>314</v>
      </c>
      <c r="F63" s="7" t="s">
        <v>315</v>
      </c>
      <c r="G63" s="7" t="s">
        <v>316</v>
      </c>
      <c r="H63" s="7" t="s">
        <v>317</v>
      </c>
      <c r="I63" s="7" t="s">
        <v>354</v>
      </c>
      <c r="J63" s="8" t="s">
        <v>42</v>
      </c>
      <c r="K63" s="7" t="s">
        <v>35</v>
      </c>
      <c r="L63" s="7" t="s">
        <v>43</v>
      </c>
    </row>
    <row r="64" customFormat="false" ht="23.85" hidden="false" customHeight="false" outlineLevel="0" collapsed="false">
      <c r="A64" s="7" t="s">
        <v>109</v>
      </c>
      <c r="B64" s="7" t="s">
        <v>349</v>
      </c>
      <c r="C64" s="7" t="s">
        <v>36</v>
      </c>
      <c r="D64" s="7" t="s">
        <v>39</v>
      </c>
      <c r="E64" s="7" t="s">
        <v>314</v>
      </c>
      <c r="F64" s="7" t="s">
        <v>318</v>
      </c>
      <c r="G64" s="7" t="s">
        <v>319</v>
      </c>
      <c r="H64" s="7" t="s">
        <v>320</v>
      </c>
      <c r="I64" s="7" t="s">
        <v>354</v>
      </c>
      <c r="J64" s="8" t="s">
        <v>42</v>
      </c>
      <c r="K64" s="7" t="s">
        <v>57</v>
      </c>
      <c r="L64" s="7" t="s">
        <v>60</v>
      </c>
    </row>
    <row r="65" customFormat="false" ht="15" hidden="false" customHeight="false" outlineLevel="0" collapsed="false">
      <c r="A65" s="7" t="s">
        <v>109</v>
      </c>
      <c r="B65" s="7" t="s">
        <v>349</v>
      </c>
      <c r="C65" s="7" t="s">
        <v>123</v>
      </c>
      <c r="D65" s="7" t="s">
        <v>39</v>
      </c>
      <c r="E65" s="7" t="s">
        <v>314</v>
      </c>
      <c r="F65" s="7" t="s">
        <v>321</v>
      </c>
      <c r="G65" s="7" t="s">
        <v>322</v>
      </c>
      <c r="H65" s="7" t="s">
        <v>323</v>
      </c>
      <c r="I65" s="7" t="s">
        <v>315</v>
      </c>
      <c r="J65" s="8" t="s">
        <v>42</v>
      </c>
      <c r="K65" s="7" t="s">
        <v>122</v>
      </c>
      <c r="L65" s="7" t="s">
        <v>127</v>
      </c>
    </row>
    <row r="66" customFormat="false" ht="15" hidden="false" customHeight="false" outlineLevel="0" collapsed="false">
      <c r="A66" s="7" t="s">
        <v>109</v>
      </c>
      <c r="B66" s="7" t="s">
        <v>349</v>
      </c>
      <c r="C66" s="7" t="s">
        <v>123</v>
      </c>
      <c r="D66" s="7" t="s">
        <v>39</v>
      </c>
      <c r="E66" s="7" t="s">
        <v>314</v>
      </c>
      <c r="F66" s="7" t="s">
        <v>321</v>
      </c>
      <c r="G66" s="7" t="s">
        <v>322</v>
      </c>
      <c r="H66" s="7" t="s">
        <v>323</v>
      </c>
      <c r="I66" s="7" t="s">
        <v>318</v>
      </c>
      <c r="J66" s="8" t="s">
        <v>42</v>
      </c>
      <c r="K66" s="7" t="s">
        <v>133</v>
      </c>
      <c r="L66" s="7" t="s">
        <v>134</v>
      </c>
    </row>
    <row r="67" customFormat="false" ht="15" hidden="false" customHeight="false" outlineLevel="0" collapsed="false">
      <c r="A67" s="7" t="s">
        <v>109</v>
      </c>
      <c r="B67" s="7" t="s">
        <v>349</v>
      </c>
      <c r="C67" s="7" t="s">
        <v>123</v>
      </c>
      <c r="D67" s="7" t="s">
        <v>39</v>
      </c>
      <c r="E67" s="7" t="s">
        <v>314</v>
      </c>
      <c r="F67" s="7" t="s">
        <v>324</v>
      </c>
      <c r="G67" s="7" t="s">
        <v>325</v>
      </c>
      <c r="H67" s="7" t="s">
        <v>326</v>
      </c>
      <c r="I67" s="7" t="s">
        <v>315</v>
      </c>
      <c r="J67" s="8" t="s">
        <v>42</v>
      </c>
      <c r="K67" s="7" t="s">
        <v>169</v>
      </c>
      <c r="L67" s="7" t="s">
        <v>172</v>
      </c>
    </row>
    <row r="68" customFormat="false" ht="15" hidden="false" customHeight="false" outlineLevel="0" collapsed="false">
      <c r="A68" s="7" t="s">
        <v>109</v>
      </c>
      <c r="B68" s="7" t="s">
        <v>349</v>
      </c>
      <c r="C68" s="7" t="s">
        <v>123</v>
      </c>
      <c r="D68" s="7" t="s">
        <v>39</v>
      </c>
      <c r="E68" s="7" t="s">
        <v>314</v>
      </c>
      <c r="F68" s="7" t="s">
        <v>324</v>
      </c>
      <c r="G68" s="7" t="s">
        <v>325</v>
      </c>
      <c r="H68" s="7" t="s">
        <v>326</v>
      </c>
      <c r="I68" s="7" t="s">
        <v>318</v>
      </c>
      <c r="J68" s="8" t="s">
        <v>42</v>
      </c>
      <c r="K68" s="7" t="s">
        <v>175</v>
      </c>
      <c r="L68" s="7" t="s">
        <v>176</v>
      </c>
    </row>
    <row r="69" customFormat="false" ht="15" hidden="false" customHeight="false" outlineLevel="0" collapsed="false">
      <c r="A69" s="7" t="s">
        <v>109</v>
      </c>
      <c r="B69" s="7" t="s">
        <v>349</v>
      </c>
      <c r="C69" s="7" t="s">
        <v>123</v>
      </c>
      <c r="D69" s="7" t="s">
        <v>39</v>
      </c>
      <c r="E69" s="7" t="s">
        <v>314</v>
      </c>
      <c r="F69" s="7" t="s">
        <v>327</v>
      </c>
      <c r="G69" s="7" t="s">
        <v>328</v>
      </c>
      <c r="H69" s="7" t="s">
        <v>329</v>
      </c>
      <c r="I69" s="7" t="s">
        <v>315</v>
      </c>
      <c r="J69" s="8" t="s">
        <v>42</v>
      </c>
      <c r="K69" s="7" t="s">
        <v>179</v>
      </c>
      <c r="L69" s="7" t="s">
        <v>182</v>
      </c>
    </row>
    <row r="70" customFormat="false" ht="15" hidden="false" customHeight="false" outlineLevel="0" collapsed="false">
      <c r="A70" s="7" t="s">
        <v>109</v>
      </c>
      <c r="B70" s="7" t="s">
        <v>349</v>
      </c>
      <c r="C70" s="7" t="s">
        <v>123</v>
      </c>
      <c r="D70" s="7" t="s">
        <v>39</v>
      </c>
      <c r="E70" s="7" t="s">
        <v>314</v>
      </c>
      <c r="F70" s="7" t="s">
        <v>327</v>
      </c>
      <c r="G70" s="7" t="s">
        <v>328</v>
      </c>
      <c r="H70" s="7" t="s">
        <v>329</v>
      </c>
      <c r="I70" s="7" t="s">
        <v>318</v>
      </c>
      <c r="J70" s="8" t="s">
        <v>42</v>
      </c>
      <c r="K70" s="7" t="s">
        <v>185</v>
      </c>
      <c r="L70" s="7" t="s">
        <v>186</v>
      </c>
    </row>
    <row r="71" customFormat="false" ht="15" hidden="false" customHeight="false" outlineLevel="0" collapsed="false">
      <c r="A71" s="7" t="s">
        <v>109</v>
      </c>
      <c r="B71" s="7" t="s">
        <v>349</v>
      </c>
      <c r="C71" s="7" t="s">
        <v>220</v>
      </c>
      <c r="D71" s="7" t="s">
        <v>39</v>
      </c>
      <c r="E71" s="7" t="s">
        <v>314</v>
      </c>
      <c r="F71" s="7" t="s">
        <v>330</v>
      </c>
      <c r="G71" s="7" t="s">
        <v>331</v>
      </c>
      <c r="H71" s="7" t="s">
        <v>332</v>
      </c>
      <c r="I71" s="7" t="s">
        <v>321</v>
      </c>
      <c r="J71" s="8" t="s">
        <v>42</v>
      </c>
      <c r="K71" s="7" t="s">
        <v>219</v>
      </c>
      <c r="L71" s="7" t="s">
        <v>223</v>
      </c>
    </row>
    <row r="72" customFormat="false" ht="15" hidden="false" customHeight="false" outlineLevel="0" collapsed="false">
      <c r="A72" s="7" t="s">
        <v>109</v>
      </c>
      <c r="B72" s="7" t="s">
        <v>349</v>
      </c>
      <c r="C72" s="7" t="s">
        <v>220</v>
      </c>
      <c r="D72" s="7" t="s">
        <v>39</v>
      </c>
      <c r="E72" s="7" t="s">
        <v>314</v>
      </c>
      <c r="F72" s="7" t="s">
        <v>333</v>
      </c>
      <c r="G72" s="7" t="s">
        <v>334</v>
      </c>
      <c r="H72" s="7" t="s">
        <v>335</v>
      </c>
      <c r="I72" s="7" t="s">
        <v>321</v>
      </c>
      <c r="J72" s="9" t="s">
        <v>230</v>
      </c>
      <c r="K72" s="7" t="s">
        <v>227</v>
      </c>
      <c r="L72" s="7" t="s">
        <v>231</v>
      </c>
    </row>
    <row r="73" customFormat="false" ht="15" hidden="false" customHeight="false" outlineLevel="0" collapsed="false">
      <c r="A73" s="7" t="s">
        <v>109</v>
      </c>
      <c r="B73" s="7" t="s">
        <v>349</v>
      </c>
      <c r="C73" s="7" t="s">
        <v>220</v>
      </c>
      <c r="D73" s="7" t="s">
        <v>39</v>
      </c>
      <c r="E73" s="7" t="s">
        <v>314</v>
      </c>
      <c r="F73" s="7" t="s">
        <v>336</v>
      </c>
      <c r="G73" s="7" t="s">
        <v>337</v>
      </c>
      <c r="H73" s="7" t="s">
        <v>338</v>
      </c>
      <c r="I73" s="7" t="s">
        <v>327</v>
      </c>
      <c r="J73" s="8" t="s">
        <v>42</v>
      </c>
      <c r="K73" s="7" t="s">
        <v>250</v>
      </c>
      <c r="L73" s="7" t="s">
        <v>253</v>
      </c>
    </row>
  </sheetData>
  <autoFilter ref="A1:L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60"/>
    <col collapsed="false" customWidth="true" hidden="false" outlineLevel="0" max="5" min="5" style="0" width="22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8" min="8" style="0" width="60"/>
    <col collapsed="false" customWidth="true" hidden="false" outlineLevel="0" max="9" min="9" style="0" width="18"/>
  </cols>
  <sheetData>
    <row r="1" customFormat="false" ht="35.05" hidden="false" customHeight="false" outlineLevel="0" collapsed="false">
      <c r="A1" s="6" t="s">
        <v>358</v>
      </c>
      <c r="B1" s="6" t="s">
        <v>359</v>
      </c>
      <c r="C1" s="6" t="s">
        <v>360</v>
      </c>
      <c r="D1" s="6" t="s">
        <v>361</v>
      </c>
      <c r="E1" s="6" t="s">
        <v>362</v>
      </c>
      <c r="F1" s="6" t="s">
        <v>363</v>
      </c>
      <c r="G1" s="6" t="s">
        <v>364</v>
      </c>
      <c r="H1" s="6" t="s">
        <v>365</v>
      </c>
      <c r="I1" s="6" t="s">
        <v>26</v>
      </c>
    </row>
    <row r="2" customFormat="false" ht="46.25" hidden="false" customHeight="false" outlineLevel="0" collapsed="false">
      <c r="A2" s="7" t="s">
        <v>366</v>
      </c>
      <c r="B2" s="7" t="s">
        <v>367</v>
      </c>
      <c r="C2" s="7" t="s">
        <v>368</v>
      </c>
      <c r="D2" s="7" t="s">
        <v>369</v>
      </c>
      <c r="E2" s="7" t="s">
        <v>370</v>
      </c>
      <c r="F2" s="7" t="s">
        <v>371</v>
      </c>
      <c r="G2" s="7" t="s">
        <v>372</v>
      </c>
      <c r="H2" s="7" t="s">
        <v>373</v>
      </c>
      <c r="I2" s="7" t="s">
        <v>42</v>
      </c>
    </row>
    <row r="3" customFormat="false" ht="46.25" hidden="false" customHeight="false" outlineLevel="0" collapsed="false">
      <c r="A3" s="7" t="s">
        <v>374</v>
      </c>
      <c r="B3" s="7" t="s">
        <v>367</v>
      </c>
      <c r="C3" s="7" t="s">
        <v>375</v>
      </c>
      <c r="D3" s="7" t="s">
        <v>376</v>
      </c>
      <c r="E3" s="7" t="s">
        <v>125</v>
      </c>
      <c r="F3" s="7" t="s">
        <v>377</v>
      </c>
      <c r="G3" s="7" t="s">
        <v>378</v>
      </c>
      <c r="H3" s="7" t="s">
        <v>379</v>
      </c>
      <c r="I3" s="7" t="s">
        <v>380</v>
      </c>
    </row>
    <row r="4" customFormat="false" ht="46.25" hidden="false" customHeight="false" outlineLevel="0" collapsed="false">
      <c r="A4" s="7" t="s">
        <v>381</v>
      </c>
      <c r="B4" s="7" t="s">
        <v>382</v>
      </c>
      <c r="C4" s="7" t="s">
        <v>383</v>
      </c>
      <c r="D4" s="7" t="s">
        <v>384</v>
      </c>
      <c r="E4" s="7" t="s">
        <v>385</v>
      </c>
      <c r="F4" s="7" t="s">
        <v>386</v>
      </c>
      <c r="G4" s="7" t="s">
        <v>387</v>
      </c>
      <c r="H4" s="7" t="s">
        <v>388</v>
      </c>
      <c r="I4" s="7" t="s">
        <v>42</v>
      </c>
    </row>
    <row r="5" customFormat="false" ht="57.45" hidden="false" customHeight="false" outlineLevel="0" collapsed="false">
      <c r="A5" s="7" t="s">
        <v>389</v>
      </c>
      <c r="B5" s="7" t="s">
        <v>382</v>
      </c>
      <c r="C5" s="7" t="s">
        <v>390</v>
      </c>
      <c r="D5" s="7" t="s">
        <v>391</v>
      </c>
      <c r="E5" s="7" t="s">
        <v>392</v>
      </c>
      <c r="F5" s="7" t="s">
        <v>393</v>
      </c>
      <c r="G5" s="7" t="s">
        <v>394</v>
      </c>
      <c r="H5" s="7" t="s">
        <v>395</v>
      </c>
      <c r="I5" s="7" t="s">
        <v>396</v>
      </c>
    </row>
    <row r="6" customFormat="false" ht="46.25" hidden="false" customHeight="false" outlineLevel="0" collapsed="false">
      <c r="A6" s="7" t="s">
        <v>397</v>
      </c>
      <c r="B6" s="7" t="s">
        <v>398</v>
      </c>
      <c r="C6" s="7" t="s">
        <v>399</v>
      </c>
      <c r="D6" s="7" t="s">
        <v>400</v>
      </c>
      <c r="E6" s="7" t="s">
        <v>401</v>
      </c>
      <c r="F6" s="7" t="s">
        <v>402</v>
      </c>
      <c r="G6" s="7" t="s">
        <v>403</v>
      </c>
      <c r="H6" s="7" t="s">
        <v>404</v>
      </c>
      <c r="I6" s="7" t="s">
        <v>42</v>
      </c>
    </row>
    <row r="7" customFormat="false" ht="35.05" hidden="false" customHeight="false" outlineLevel="0" collapsed="false">
      <c r="A7" s="7" t="s">
        <v>405</v>
      </c>
      <c r="B7" s="7" t="s">
        <v>398</v>
      </c>
      <c r="C7" s="7" t="s">
        <v>406</v>
      </c>
      <c r="D7" s="7" t="s">
        <v>407</v>
      </c>
      <c r="E7" s="7" t="s">
        <v>408</v>
      </c>
      <c r="F7" s="7" t="s">
        <v>409</v>
      </c>
      <c r="G7" s="7" t="s">
        <v>410</v>
      </c>
      <c r="H7" s="7" t="s">
        <v>411</v>
      </c>
      <c r="I7" s="7" t="s">
        <v>412</v>
      </c>
    </row>
  </sheetData>
  <autoFilter ref="A1:I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2"/>
  </cols>
  <sheetData>
    <row r="1" customFormat="false" ht="23.85" hidden="false" customHeight="false" outlineLevel="0" collapsed="false">
      <c r="A1" s="6" t="s">
        <v>413</v>
      </c>
      <c r="B1" s="6" t="s">
        <v>269</v>
      </c>
      <c r="C1" s="6" t="s">
        <v>270</v>
      </c>
      <c r="D1" s="6" t="s">
        <v>414</v>
      </c>
      <c r="E1" s="6" t="s">
        <v>415</v>
      </c>
      <c r="F1" s="6" t="s">
        <v>24</v>
      </c>
      <c r="G1" s="6" t="s">
        <v>26</v>
      </c>
      <c r="H1" s="6" t="s">
        <v>416</v>
      </c>
    </row>
    <row r="2" customFormat="false" ht="15" hidden="false" customHeight="false" outlineLevel="0" collapsed="false">
      <c r="A2" s="7" t="s">
        <v>417</v>
      </c>
      <c r="B2" s="7" t="s">
        <v>321</v>
      </c>
      <c r="C2" s="7" t="s">
        <v>322</v>
      </c>
      <c r="D2" s="7" t="s">
        <v>418</v>
      </c>
      <c r="E2" s="7" t="s">
        <v>123</v>
      </c>
      <c r="F2" s="7" t="s">
        <v>73</v>
      </c>
      <c r="G2" s="7" t="s">
        <v>42</v>
      </c>
      <c r="H2" s="7" t="s">
        <v>419</v>
      </c>
    </row>
    <row r="3" customFormat="false" ht="15" hidden="false" customHeight="false" outlineLevel="0" collapsed="false">
      <c r="A3" s="7" t="s">
        <v>417</v>
      </c>
      <c r="B3" s="7" t="s">
        <v>279</v>
      </c>
      <c r="C3" s="7" t="s">
        <v>280</v>
      </c>
      <c r="D3" s="7" t="s">
        <v>420</v>
      </c>
      <c r="E3" s="7" t="s">
        <v>123</v>
      </c>
      <c r="F3" s="7" t="s">
        <v>73</v>
      </c>
      <c r="G3" s="7" t="s">
        <v>42</v>
      </c>
      <c r="H3" s="7" t="s">
        <v>421</v>
      </c>
    </row>
    <row r="4" customFormat="false" ht="15" hidden="false" customHeight="false" outlineLevel="0" collapsed="false">
      <c r="A4" s="7" t="s">
        <v>417</v>
      </c>
      <c r="B4" s="7" t="s">
        <v>327</v>
      </c>
      <c r="C4" s="7" t="s">
        <v>328</v>
      </c>
      <c r="D4" s="7" t="s">
        <v>422</v>
      </c>
      <c r="E4" s="7" t="s">
        <v>123</v>
      </c>
      <c r="F4" s="7" t="s">
        <v>73</v>
      </c>
      <c r="G4" s="7" t="s">
        <v>42</v>
      </c>
      <c r="H4" s="7" t="s">
        <v>423</v>
      </c>
    </row>
    <row r="5" customFormat="false" ht="15" hidden="false" customHeight="false" outlineLevel="0" collapsed="false">
      <c r="A5" s="7" t="s">
        <v>417</v>
      </c>
      <c r="B5" s="7" t="s">
        <v>330</v>
      </c>
      <c r="C5" s="7" t="s">
        <v>331</v>
      </c>
      <c r="D5" s="7" t="s">
        <v>424</v>
      </c>
      <c r="E5" s="7" t="s">
        <v>220</v>
      </c>
      <c r="F5" s="7" t="s">
        <v>73</v>
      </c>
      <c r="G5" s="7" t="s">
        <v>42</v>
      </c>
      <c r="H5" s="7" t="s">
        <v>219</v>
      </c>
    </row>
    <row r="6" customFormat="false" ht="15" hidden="false" customHeight="false" outlineLevel="0" collapsed="false">
      <c r="A6" s="7" t="s">
        <v>417</v>
      </c>
      <c r="B6" s="7" t="s">
        <v>333</v>
      </c>
      <c r="C6" s="7" t="s">
        <v>334</v>
      </c>
      <c r="D6" s="7" t="s">
        <v>425</v>
      </c>
      <c r="E6" s="7" t="s">
        <v>220</v>
      </c>
      <c r="F6" s="7" t="s">
        <v>73</v>
      </c>
      <c r="G6" s="7" t="s">
        <v>230</v>
      </c>
      <c r="H6" s="7" t="s">
        <v>227</v>
      </c>
    </row>
    <row r="7" customFormat="false" ht="15" hidden="false" customHeight="false" outlineLevel="0" collapsed="false">
      <c r="A7" s="7" t="s">
        <v>426</v>
      </c>
      <c r="B7" s="7" t="s">
        <v>315</v>
      </c>
      <c r="C7" s="7" t="s">
        <v>316</v>
      </c>
      <c r="D7" s="7" t="s">
        <v>427</v>
      </c>
      <c r="E7" s="7" t="s">
        <v>36</v>
      </c>
      <c r="F7" s="7" t="s">
        <v>73</v>
      </c>
      <c r="G7" s="7" t="s">
        <v>42</v>
      </c>
      <c r="H7" s="7" t="s">
        <v>428</v>
      </c>
    </row>
    <row r="8" customFormat="false" ht="15" hidden="false" customHeight="false" outlineLevel="0" collapsed="false">
      <c r="A8" s="7" t="s">
        <v>426</v>
      </c>
      <c r="B8" s="7" t="s">
        <v>308</v>
      </c>
      <c r="C8" s="7" t="s">
        <v>309</v>
      </c>
      <c r="D8" s="7" t="s">
        <v>429</v>
      </c>
      <c r="E8" s="7" t="s">
        <v>36</v>
      </c>
      <c r="F8" s="7" t="s">
        <v>100</v>
      </c>
      <c r="G8" s="7" t="s">
        <v>42</v>
      </c>
      <c r="H8" s="7" t="s">
        <v>97</v>
      </c>
    </row>
    <row r="9" customFormat="false" ht="15" hidden="false" customHeight="false" outlineLevel="0" collapsed="false">
      <c r="A9" s="7" t="s">
        <v>426</v>
      </c>
      <c r="B9" s="7" t="s">
        <v>311</v>
      </c>
      <c r="C9" s="7" t="s">
        <v>312</v>
      </c>
      <c r="D9" s="7" t="s">
        <v>430</v>
      </c>
      <c r="E9" s="7" t="s">
        <v>123</v>
      </c>
      <c r="F9" s="7" t="s">
        <v>100</v>
      </c>
      <c r="G9" s="7" t="s">
        <v>42</v>
      </c>
      <c r="H9" s="7" t="s">
        <v>207</v>
      </c>
    </row>
    <row r="10" customFormat="false" ht="15" hidden="false" customHeight="false" outlineLevel="0" collapsed="false">
      <c r="A10" s="7" t="s">
        <v>431</v>
      </c>
      <c r="B10" s="7" t="s">
        <v>295</v>
      </c>
      <c r="C10" s="7" t="s">
        <v>296</v>
      </c>
      <c r="D10" s="7" t="s">
        <v>432</v>
      </c>
      <c r="E10" s="7" t="s">
        <v>36</v>
      </c>
      <c r="F10" s="7" t="s">
        <v>82</v>
      </c>
      <c r="G10" s="7" t="s">
        <v>42</v>
      </c>
      <c r="H10" s="7" t="s">
        <v>79</v>
      </c>
    </row>
    <row r="11" customFormat="false" ht="15" hidden="false" customHeight="false" outlineLevel="0" collapsed="false">
      <c r="A11" s="7" t="s">
        <v>431</v>
      </c>
      <c r="B11" s="7" t="s">
        <v>298</v>
      </c>
      <c r="C11" s="7" t="s">
        <v>299</v>
      </c>
      <c r="D11" s="7" t="s">
        <v>433</v>
      </c>
      <c r="E11" s="7" t="s">
        <v>123</v>
      </c>
      <c r="F11" s="7" t="s">
        <v>82</v>
      </c>
      <c r="G11" s="7" t="s">
        <v>42</v>
      </c>
      <c r="H11" s="7" t="s">
        <v>189</v>
      </c>
    </row>
    <row r="12" customFormat="false" ht="15" hidden="false" customHeight="false" outlineLevel="0" collapsed="false">
      <c r="A12" s="7" t="s">
        <v>431</v>
      </c>
      <c r="B12" s="7" t="s">
        <v>304</v>
      </c>
      <c r="C12" s="7" t="s">
        <v>305</v>
      </c>
      <c r="D12" s="7" t="s">
        <v>434</v>
      </c>
      <c r="E12" s="7" t="s">
        <v>220</v>
      </c>
      <c r="F12" s="7" t="s">
        <v>82</v>
      </c>
      <c r="G12" s="7" t="s">
        <v>42</v>
      </c>
      <c r="H12" s="7" t="s">
        <v>257</v>
      </c>
    </row>
    <row r="13" customFormat="false" ht="15" hidden="false" customHeight="false" outlineLevel="0" collapsed="false">
      <c r="A13" s="7" t="s">
        <v>435</v>
      </c>
      <c r="B13" s="7" t="s">
        <v>275</v>
      </c>
      <c r="C13" s="7" t="s">
        <v>276</v>
      </c>
      <c r="D13" s="7" t="s">
        <v>436</v>
      </c>
      <c r="E13" s="7" t="s">
        <v>36</v>
      </c>
      <c r="F13" s="7" t="s">
        <v>73</v>
      </c>
      <c r="G13" s="7" t="s">
        <v>42</v>
      </c>
      <c r="H13" s="7" t="s">
        <v>70</v>
      </c>
    </row>
    <row r="14" customFormat="false" ht="15" hidden="false" customHeight="false" outlineLevel="0" collapsed="false">
      <c r="A14" s="7" t="s">
        <v>435</v>
      </c>
      <c r="B14" s="7" t="s">
        <v>351</v>
      </c>
      <c r="C14" s="7" t="s">
        <v>352</v>
      </c>
      <c r="D14" s="7" t="s">
        <v>437</v>
      </c>
      <c r="E14" s="7" t="s">
        <v>36</v>
      </c>
      <c r="F14" s="7" t="s">
        <v>109</v>
      </c>
      <c r="G14" s="7" t="s">
        <v>42</v>
      </c>
      <c r="H14" s="7" t="s">
        <v>106</v>
      </c>
    </row>
    <row r="15" customFormat="false" ht="15" hidden="false" customHeight="false" outlineLevel="0" collapsed="false">
      <c r="A15" s="7" t="s">
        <v>435</v>
      </c>
      <c r="B15" s="7" t="s">
        <v>324</v>
      </c>
      <c r="C15" s="7" t="s">
        <v>325</v>
      </c>
      <c r="D15" s="7" t="s">
        <v>438</v>
      </c>
      <c r="E15" s="7" t="s">
        <v>123</v>
      </c>
      <c r="F15" s="7" t="s">
        <v>73</v>
      </c>
      <c r="G15" s="7" t="s">
        <v>42</v>
      </c>
      <c r="H15" s="7" t="s">
        <v>439</v>
      </c>
    </row>
    <row r="16" customFormat="false" ht="15" hidden="false" customHeight="false" outlineLevel="0" collapsed="false">
      <c r="A16" s="7" t="s">
        <v>435</v>
      </c>
      <c r="B16" s="7" t="s">
        <v>285</v>
      </c>
      <c r="C16" s="7" t="s">
        <v>286</v>
      </c>
      <c r="D16" s="7" t="s">
        <v>440</v>
      </c>
      <c r="E16" s="7" t="s">
        <v>123</v>
      </c>
      <c r="F16" s="7" t="s">
        <v>73</v>
      </c>
      <c r="G16" s="7" t="s">
        <v>42</v>
      </c>
      <c r="H16" s="7" t="s">
        <v>213</v>
      </c>
    </row>
    <row r="17" customFormat="false" ht="15" hidden="false" customHeight="false" outlineLevel="0" collapsed="false">
      <c r="A17" s="7" t="s">
        <v>435</v>
      </c>
      <c r="B17" s="7" t="s">
        <v>291</v>
      </c>
      <c r="C17" s="7" t="s">
        <v>292</v>
      </c>
      <c r="D17" s="7" t="s">
        <v>441</v>
      </c>
      <c r="E17" s="7" t="s">
        <v>220</v>
      </c>
      <c r="F17" s="7" t="s">
        <v>73</v>
      </c>
      <c r="G17" s="7" t="s">
        <v>42</v>
      </c>
      <c r="H17" s="7" t="s">
        <v>244</v>
      </c>
    </row>
    <row r="18" customFormat="false" ht="15" hidden="false" customHeight="false" outlineLevel="0" collapsed="false">
      <c r="A18" s="7" t="s">
        <v>442</v>
      </c>
      <c r="B18" s="7" t="s">
        <v>318</v>
      </c>
      <c r="C18" s="7" t="s">
        <v>319</v>
      </c>
      <c r="D18" s="7" t="s">
        <v>443</v>
      </c>
      <c r="E18" s="7" t="s">
        <v>36</v>
      </c>
      <c r="F18" s="7" t="s">
        <v>73</v>
      </c>
      <c r="G18" s="7" t="s">
        <v>42</v>
      </c>
      <c r="H18" s="7" t="s">
        <v>444</v>
      </c>
    </row>
    <row r="19" customFormat="false" ht="15" hidden="false" customHeight="false" outlineLevel="0" collapsed="false">
      <c r="A19" s="7" t="s">
        <v>442</v>
      </c>
      <c r="B19" s="7" t="s">
        <v>355</v>
      </c>
      <c r="C19" s="7" t="s">
        <v>356</v>
      </c>
      <c r="D19" s="7" t="s">
        <v>445</v>
      </c>
      <c r="E19" s="7" t="s">
        <v>36</v>
      </c>
      <c r="F19" s="7" t="s">
        <v>109</v>
      </c>
      <c r="G19" s="7" t="s">
        <v>42</v>
      </c>
      <c r="H19" s="7" t="s">
        <v>115</v>
      </c>
    </row>
    <row r="20" customFormat="false" ht="15" hidden="false" customHeight="false" outlineLevel="0" collapsed="false">
      <c r="A20" s="7" t="s">
        <v>442</v>
      </c>
      <c r="B20" s="7" t="s">
        <v>282</v>
      </c>
      <c r="C20" s="7" t="s">
        <v>283</v>
      </c>
      <c r="D20" s="7" t="s">
        <v>446</v>
      </c>
      <c r="E20" s="7" t="s">
        <v>123</v>
      </c>
      <c r="F20" s="7" t="s">
        <v>73</v>
      </c>
      <c r="G20" s="7" t="s">
        <v>42</v>
      </c>
      <c r="H20" s="7" t="s">
        <v>447</v>
      </c>
    </row>
    <row r="21" customFormat="false" ht="15" hidden="false" customHeight="false" outlineLevel="0" collapsed="false">
      <c r="A21" s="7" t="s">
        <v>448</v>
      </c>
      <c r="B21" s="7" t="s">
        <v>342</v>
      </c>
      <c r="C21" s="7" t="s">
        <v>343</v>
      </c>
      <c r="D21" s="7" t="s">
        <v>449</v>
      </c>
      <c r="E21" s="7" t="s">
        <v>36</v>
      </c>
      <c r="F21" s="7" t="s">
        <v>91</v>
      </c>
      <c r="G21" s="7" t="s">
        <v>42</v>
      </c>
      <c r="H21" s="7" t="s">
        <v>88</v>
      </c>
    </row>
    <row r="22" customFormat="false" ht="15" hidden="false" customHeight="false" outlineLevel="0" collapsed="false">
      <c r="A22" s="7" t="s">
        <v>448</v>
      </c>
      <c r="B22" s="7" t="s">
        <v>301</v>
      </c>
      <c r="C22" s="7" t="s">
        <v>302</v>
      </c>
      <c r="D22" s="7" t="s">
        <v>450</v>
      </c>
      <c r="E22" s="7" t="s">
        <v>123</v>
      </c>
      <c r="F22" s="7" t="s">
        <v>82</v>
      </c>
      <c r="G22" s="7" t="s">
        <v>42</v>
      </c>
      <c r="H22" s="7" t="s">
        <v>195</v>
      </c>
    </row>
    <row r="23" customFormat="false" ht="15" hidden="false" customHeight="false" outlineLevel="0" collapsed="false">
      <c r="A23" s="7" t="s">
        <v>448</v>
      </c>
      <c r="B23" s="7" t="s">
        <v>345</v>
      </c>
      <c r="C23" s="7" t="s">
        <v>346</v>
      </c>
      <c r="D23" s="7" t="s">
        <v>451</v>
      </c>
      <c r="E23" s="7" t="s">
        <v>123</v>
      </c>
      <c r="F23" s="7" t="s">
        <v>91</v>
      </c>
      <c r="G23" s="7" t="s">
        <v>42</v>
      </c>
      <c r="H23" s="7" t="s">
        <v>201</v>
      </c>
    </row>
    <row r="24" customFormat="false" ht="15" hidden="false" customHeight="false" outlineLevel="0" collapsed="false">
      <c r="A24" s="7" t="s">
        <v>448</v>
      </c>
      <c r="B24" s="7" t="s">
        <v>288</v>
      </c>
      <c r="C24" s="7" t="s">
        <v>289</v>
      </c>
      <c r="D24" s="7" t="s">
        <v>452</v>
      </c>
      <c r="E24" s="7" t="s">
        <v>220</v>
      </c>
      <c r="F24" s="7" t="s">
        <v>73</v>
      </c>
      <c r="G24" s="7" t="s">
        <v>42</v>
      </c>
      <c r="H24" s="7" t="s">
        <v>236</v>
      </c>
    </row>
    <row r="25" customFormat="false" ht="15" hidden="false" customHeight="false" outlineLevel="0" collapsed="false">
      <c r="A25" s="7" t="s">
        <v>453</v>
      </c>
      <c r="B25" s="7" t="s">
        <v>336</v>
      </c>
      <c r="C25" s="7" t="s">
        <v>337</v>
      </c>
      <c r="D25" s="7" t="s">
        <v>454</v>
      </c>
      <c r="E25" s="7" t="s">
        <v>220</v>
      </c>
      <c r="F25" s="7" t="s">
        <v>73</v>
      </c>
      <c r="G25" s="7" t="s">
        <v>42</v>
      </c>
      <c r="H25" s="7" t="s">
        <v>250</v>
      </c>
    </row>
    <row r="27" customFormat="false" ht="15" hidden="false" customHeight="false" outlineLevel="0" collapsed="false">
      <c r="A27" s="2" t="s">
        <v>455</v>
      </c>
    </row>
  </sheetData>
  <autoFilter ref="A1:H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70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6" t="s">
        <v>358</v>
      </c>
      <c r="B1" s="6" t="s">
        <v>456</v>
      </c>
      <c r="C1" s="6" t="s">
        <v>364</v>
      </c>
      <c r="D1" s="6" t="s">
        <v>457</v>
      </c>
      <c r="E1" s="6" t="s">
        <v>458</v>
      </c>
      <c r="F1" s="6" t="s">
        <v>459</v>
      </c>
    </row>
    <row r="2" customFormat="false" ht="23.85" hidden="false" customHeight="false" outlineLevel="0" collapsed="false">
      <c r="A2" s="7" t="s">
        <v>460</v>
      </c>
      <c r="B2" s="7" t="s">
        <v>461</v>
      </c>
      <c r="C2" s="7" t="s">
        <v>462</v>
      </c>
      <c r="D2" s="7" t="s">
        <v>463</v>
      </c>
      <c r="E2" s="7" t="s">
        <v>464</v>
      </c>
      <c r="F2" s="7" t="s">
        <v>465</v>
      </c>
    </row>
    <row r="3" customFormat="false" ht="35.05" hidden="false" customHeight="false" outlineLevel="0" collapsed="false">
      <c r="A3" s="7" t="s">
        <v>466</v>
      </c>
      <c r="B3" s="7" t="s">
        <v>467</v>
      </c>
      <c r="C3" s="7" t="s">
        <v>468</v>
      </c>
      <c r="D3" s="7" t="s">
        <v>469</v>
      </c>
      <c r="E3" s="7" t="s">
        <v>470</v>
      </c>
      <c r="F3" s="7" t="s">
        <v>471</v>
      </c>
    </row>
    <row r="4" customFormat="false" ht="23.85" hidden="false" customHeight="false" outlineLevel="0" collapsed="false">
      <c r="A4" s="7" t="s">
        <v>472</v>
      </c>
      <c r="B4" s="7" t="s">
        <v>473</v>
      </c>
      <c r="C4" s="7" t="s">
        <v>135</v>
      </c>
      <c r="D4" s="7" t="s">
        <v>474</v>
      </c>
      <c r="E4" s="7" t="s">
        <v>475</v>
      </c>
      <c r="F4" s="7" t="s">
        <v>476</v>
      </c>
    </row>
    <row r="5" customFormat="false" ht="23.85" hidden="false" customHeight="false" outlineLevel="0" collapsed="false">
      <c r="A5" s="7" t="s">
        <v>477</v>
      </c>
      <c r="B5" s="7" t="s">
        <v>478</v>
      </c>
      <c r="C5" s="7" t="s">
        <v>135</v>
      </c>
      <c r="D5" s="7" t="s">
        <v>479</v>
      </c>
      <c r="E5" s="7" t="s">
        <v>480</v>
      </c>
      <c r="F5" s="7" t="s">
        <v>481</v>
      </c>
    </row>
    <row r="6" customFormat="false" ht="46.25" hidden="false" customHeight="false" outlineLevel="0" collapsed="false">
      <c r="A6" s="7" t="s">
        <v>482</v>
      </c>
      <c r="B6" s="7" t="s">
        <v>483</v>
      </c>
      <c r="C6" s="7" t="s">
        <v>484</v>
      </c>
      <c r="D6" s="7" t="s">
        <v>485</v>
      </c>
      <c r="E6" s="7" t="s">
        <v>486</v>
      </c>
      <c r="F6" s="7" t="s">
        <v>487</v>
      </c>
    </row>
    <row r="7" customFormat="false" ht="15" hidden="false" customHeight="false" outlineLevel="0" collapsed="false">
      <c r="A7" s="7" t="s">
        <v>488</v>
      </c>
      <c r="B7" s="7" t="s">
        <v>489</v>
      </c>
      <c r="C7" s="7" t="s">
        <v>490</v>
      </c>
      <c r="D7" s="7" t="s">
        <v>485</v>
      </c>
      <c r="E7" s="7" t="s">
        <v>491</v>
      </c>
      <c r="F7" s="7" t="s">
        <v>492</v>
      </c>
    </row>
    <row r="8" customFormat="false" ht="23.85" hidden="false" customHeight="false" outlineLevel="0" collapsed="false">
      <c r="A8" s="7" t="s">
        <v>493</v>
      </c>
      <c r="B8" s="7" t="s">
        <v>494</v>
      </c>
      <c r="C8" s="7" t="s">
        <v>495</v>
      </c>
      <c r="D8" s="7" t="s">
        <v>485</v>
      </c>
      <c r="E8" s="7" t="s">
        <v>496</v>
      </c>
      <c r="F8" s="7" t="s">
        <v>497</v>
      </c>
    </row>
    <row r="9" customFormat="false" ht="23.85" hidden="false" customHeight="false" outlineLevel="0" collapsed="false">
      <c r="A9" s="7" t="s">
        <v>498</v>
      </c>
      <c r="B9" s="7" t="s">
        <v>499</v>
      </c>
      <c r="C9" s="7" t="s">
        <v>143</v>
      </c>
      <c r="D9" s="7" t="s">
        <v>500</v>
      </c>
      <c r="E9" s="7" t="s">
        <v>501</v>
      </c>
      <c r="F9" s="7" t="s">
        <v>502</v>
      </c>
    </row>
    <row r="10" customFormat="false" ht="23.85" hidden="false" customHeight="false" outlineLevel="0" collapsed="false">
      <c r="A10" s="7" t="s">
        <v>503</v>
      </c>
      <c r="B10" s="7" t="s">
        <v>504</v>
      </c>
      <c r="C10" s="7" t="s">
        <v>505</v>
      </c>
      <c r="D10" s="7" t="s">
        <v>506</v>
      </c>
      <c r="E10" s="7" t="s">
        <v>507</v>
      </c>
      <c r="F10" s="7" t="s">
        <v>508</v>
      </c>
    </row>
  </sheetData>
  <autoFilter ref="A1:F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80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6" t="s">
        <v>358</v>
      </c>
      <c r="B1" s="6" t="s">
        <v>509</v>
      </c>
      <c r="C1" s="6" t="s">
        <v>26</v>
      </c>
      <c r="D1" s="6" t="s">
        <v>364</v>
      </c>
      <c r="E1" s="6" t="s">
        <v>510</v>
      </c>
      <c r="F1" s="6" t="s">
        <v>511</v>
      </c>
    </row>
    <row r="2" customFormat="false" ht="23.85" hidden="false" customHeight="false" outlineLevel="0" collapsed="false">
      <c r="A2" s="7" t="s">
        <v>512</v>
      </c>
      <c r="B2" s="7" t="s">
        <v>513</v>
      </c>
      <c r="C2" s="7" t="s">
        <v>230</v>
      </c>
      <c r="D2" s="7" t="s">
        <v>231</v>
      </c>
      <c r="E2" s="7" t="s">
        <v>514</v>
      </c>
      <c r="F2" s="7" t="s">
        <v>515</v>
      </c>
    </row>
    <row r="3" customFormat="false" ht="23.85" hidden="false" customHeight="false" outlineLevel="0" collapsed="false">
      <c r="A3" s="7" t="s">
        <v>516</v>
      </c>
      <c r="B3" s="7" t="s">
        <v>517</v>
      </c>
      <c r="C3" s="7" t="s">
        <v>518</v>
      </c>
      <c r="D3" s="7" t="s">
        <v>519</v>
      </c>
      <c r="E3" s="7" t="s">
        <v>520</v>
      </c>
      <c r="F3" s="7" t="s">
        <v>521</v>
      </c>
    </row>
    <row r="4" customFormat="false" ht="23.85" hidden="false" customHeight="false" outlineLevel="0" collapsed="false">
      <c r="A4" s="7" t="s">
        <v>522</v>
      </c>
      <c r="B4" s="7" t="s">
        <v>523</v>
      </c>
      <c r="C4" s="7" t="s">
        <v>518</v>
      </c>
      <c r="D4" s="7" t="s">
        <v>524</v>
      </c>
      <c r="E4" s="7" t="s">
        <v>525</v>
      </c>
      <c r="F4" s="7" t="s">
        <v>526</v>
      </c>
    </row>
    <row r="5" customFormat="false" ht="23.85" hidden="false" customHeight="false" outlineLevel="0" collapsed="false">
      <c r="A5" s="7" t="s">
        <v>527</v>
      </c>
      <c r="B5" s="7" t="s">
        <v>528</v>
      </c>
      <c r="C5" s="7" t="s">
        <v>529</v>
      </c>
      <c r="D5" s="7" t="s">
        <v>44</v>
      </c>
      <c r="E5" s="7" t="s">
        <v>530</v>
      </c>
      <c r="F5" s="7" t="s">
        <v>531</v>
      </c>
    </row>
    <row r="6" customFormat="false" ht="23.85" hidden="false" customHeight="false" outlineLevel="0" collapsed="false">
      <c r="A6" s="7" t="s">
        <v>532</v>
      </c>
      <c r="B6" s="7" t="s">
        <v>533</v>
      </c>
      <c r="C6" s="7" t="s">
        <v>529</v>
      </c>
      <c r="D6" s="7" t="s">
        <v>44</v>
      </c>
      <c r="E6" s="7" t="s">
        <v>534</v>
      </c>
      <c r="F6" s="7" t="s">
        <v>535</v>
      </c>
    </row>
    <row r="7" customFormat="false" ht="23.85" hidden="false" customHeight="false" outlineLevel="0" collapsed="false">
      <c r="A7" s="7" t="s">
        <v>536</v>
      </c>
      <c r="B7" s="7" t="s">
        <v>537</v>
      </c>
      <c r="C7" s="7" t="s">
        <v>538</v>
      </c>
      <c r="D7" s="7" t="s">
        <v>539</v>
      </c>
      <c r="E7" s="7" t="s">
        <v>540</v>
      </c>
      <c r="F7" s="7" t="s">
        <v>541</v>
      </c>
    </row>
    <row r="8" customFormat="false" ht="23.85" hidden="false" customHeight="false" outlineLevel="0" collapsed="false">
      <c r="A8" s="7" t="s">
        <v>542</v>
      </c>
      <c r="B8" s="7" t="s">
        <v>543</v>
      </c>
      <c r="C8" s="7" t="s">
        <v>538</v>
      </c>
      <c r="D8" s="7" t="s">
        <v>544</v>
      </c>
      <c r="E8" s="7" t="s">
        <v>545</v>
      </c>
      <c r="F8" s="7" t="s">
        <v>546</v>
      </c>
    </row>
    <row r="9" customFormat="false" ht="23.85" hidden="false" customHeight="false" outlineLevel="0" collapsed="false">
      <c r="A9" s="7" t="s">
        <v>547</v>
      </c>
      <c r="B9" s="7" t="s">
        <v>548</v>
      </c>
      <c r="C9" s="7" t="s">
        <v>549</v>
      </c>
      <c r="D9" s="7" t="s">
        <v>505</v>
      </c>
      <c r="E9" s="7" t="s">
        <v>550</v>
      </c>
      <c r="F9" s="7" t="s">
        <v>551</v>
      </c>
    </row>
    <row r="10" customFormat="false" ht="23.85" hidden="false" customHeight="false" outlineLevel="0" collapsed="false">
      <c r="A10" s="7" t="s">
        <v>552</v>
      </c>
      <c r="B10" s="7" t="s">
        <v>553</v>
      </c>
      <c r="C10" s="7" t="s">
        <v>538</v>
      </c>
      <c r="D10" s="7" t="s">
        <v>44</v>
      </c>
      <c r="E10" s="7" t="s">
        <v>554</v>
      </c>
      <c r="F10" s="7" t="s">
        <v>555</v>
      </c>
    </row>
    <row r="11" customFormat="false" ht="35.05" hidden="false" customHeight="false" outlineLevel="0" collapsed="false">
      <c r="A11" s="7" t="s">
        <v>556</v>
      </c>
      <c r="B11" s="7" t="s">
        <v>557</v>
      </c>
      <c r="C11" s="7" t="s">
        <v>538</v>
      </c>
      <c r="D11" s="7" t="s">
        <v>558</v>
      </c>
      <c r="E11" s="7" t="s">
        <v>559</v>
      </c>
      <c r="F11" s="7" t="s">
        <v>44</v>
      </c>
    </row>
    <row r="12" customFormat="false" ht="23.85" hidden="false" customHeight="false" outlineLevel="0" collapsed="false">
      <c r="A12" s="7" t="s">
        <v>560</v>
      </c>
      <c r="B12" s="7" t="s">
        <v>561</v>
      </c>
      <c r="C12" s="7" t="s">
        <v>538</v>
      </c>
      <c r="D12" s="7" t="s">
        <v>562</v>
      </c>
      <c r="E12" s="7" t="s">
        <v>563</v>
      </c>
      <c r="F12" s="7" t="s">
        <v>564</v>
      </c>
    </row>
  </sheetData>
  <autoFilter ref="A1:F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70"/>
    <col collapsed="false" customWidth="true" hidden="false" outlineLevel="0" max="8" min="8" style="0" width="10"/>
  </cols>
  <sheetData>
    <row r="1" customFormat="false" ht="35.05" hidden="false" customHeight="false" outlineLevel="0" collapsed="false">
      <c r="A1" s="6" t="s">
        <v>565</v>
      </c>
      <c r="B1" s="6" t="s">
        <v>566</v>
      </c>
      <c r="C1" s="6" t="s">
        <v>567</v>
      </c>
      <c r="D1" s="6" t="s">
        <v>568</v>
      </c>
      <c r="E1" s="6" t="s">
        <v>569</v>
      </c>
      <c r="F1" s="6" t="s">
        <v>570</v>
      </c>
      <c r="G1" s="6" t="s">
        <v>571</v>
      </c>
      <c r="H1" s="6" t="s">
        <v>572</v>
      </c>
    </row>
    <row r="2" customFormat="false" ht="15" hidden="false" customHeight="false" outlineLevel="0" collapsed="false">
      <c r="A2" s="7" t="s">
        <v>573</v>
      </c>
      <c r="B2" s="7" t="s">
        <v>145</v>
      </c>
      <c r="C2" s="7" t="s">
        <v>574</v>
      </c>
      <c r="D2" s="7" t="s">
        <v>575</v>
      </c>
      <c r="E2" s="7" t="s">
        <v>576</v>
      </c>
      <c r="F2" s="7" t="s">
        <v>577</v>
      </c>
      <c r="G2" s="7" t="s">
        <v>578</v>
      </c>
      <c r="H2" s="7" t="n">
        <v>2</v>
      </c>
    </row>
    <row r="3" customFormat="false" ht="15" hidden="false" customHeight="false" outlineLevel="0" collapsed="false">
      <c r="A3" s="7" t="s">
        <v>579</v>
      </c>
      <c r="B3" s="7" t="s">
        <v>580</v>
      </c>
      <c r="C3" s="7" t="s">
        <v>581</v>
      </c>
      <c r="D3" s="7" t="s">
        <v>582</v>
      </c>
      <c r="E3" s="7" t="s">
        <v>576</v>
      </c>
      <c r="F3" s="7" t="s">
        <v>577</v>
      </c>
      <c r="G3" s="7" t="s">
        <v>578</v>
      </c>
      <c r="H3" s="7" t="n">
        <v>3</v>
      </c>
    </row>
    <row r="4" customFormat="false" ht="15" hidden="false" customHeight="false" outlineLevel="0" collapsed="false">
      <c r="A4" s="7" t="s">
        <v>583</v>
      </c>
      <c r="B4" s="7" t="s">
        <v>145</v>
      </c>
      <c r="C4" s="7" t="s">
        <v>574</v>
      </c>
      <c r="D4" s="7" t="s">
        <v>584</v>
      </c>
      <c r="E4" s="7" t="s">
        <v>576</v>
      </c>
      <c r="F4" s="7" t="s">
        <v>577</v>
      </c>
      <c r="G4" s="7" t="s">
        <v>585</v>
      </c>
      <c r="H4" s="7" t="n">
        <v>4</v>
      </c>
    </row>
    <row r="5" customFormat="false" ht="15" hidden="false" customHeight="false" outlineLevel="0" collapsed="false">
      <c r="A5" s="7" t="s">
        <v>586</v>
      </c>
      <c r="B5" s="7" t="s">
        <v>580</v>
      </c>
      <c r="C5" s="7" t="s">
        <v>581</v>
      </c>
      <c r="D5" s="7" t="s">
        <v>587</v>
      </c>
      <c r="E5" s="7" t="s">
        <v>576</v>
      </c>
      <c r="F5" s="7" t="s">
        <v>577</v>
      </c>
      <c r="G5" s="7" t="s">
        <v>585</v>
      </c>
      <c r="H5" s="7" t="n">
        <v>5</v>
      </c>
    </row>
    <row r="6" customFormat="false" ht="15" hidden="false" customHeight="false" outlineLevel="0" collapsed="false">
      <c r="A6" s="7" t="s">
        <v>588</v>
      </c>
      <c r="B6" s="7" t="s">
        <v>145</v>
      </c>
      <c r="C6" s="7" t="s">
        <v>574</v>
      </c>
      <c r="D6" s="7" t="s">
        <v>589</v>
      </c>
      <c r="E6" s="7" t="s">
        <v>576</v>
      </c>
      <c r="F6" s="7" t="s">
        <v>577</v>
      </c>
      <c r="G6" s="7" t="s">
        <v>590</v>
      </c>
      <c r="H6" s="7" t="n">
        <v>6</v>
      </c>
    </row>
    <row r="7" customFormat="false" ht="15" hidden="false" customHeight="false" outlineLevel="0" collapsed="false">
      <c r="A7" s="7" t="s">
        <v>591</v>
      </c>
      <c r="B7" s="7" t="s">
        <v>580</v>
      </c>
      <c r="C7" s="7" t="s">
        <v>581</v>
      </c>
      <c r="D7" s="7" t="s">
        <v>592</v>
      </c>
      <c r="E7" s="7" t="s">
        <v>576</v>
      </c>
      <c r="F7" s="7" t="s">
        <v>577</v>
      </c>
      <c r="G7" s="7" t="s">
        <v>590</v>
      </c>
      <c r="H7" s="7" t="n">
        <v>7</v>
      </c>
    </row>
    <row r="8" customFormat="false" ht="15" hidden="false" customHeight="false" outlineLevel="0" collapsed="false">
      <c r="A8" s="7" t="s">
        <v>593</v>
      </c>
      <c r="B8" s="7" t="s">
        <v>145</v>
      </c>
      <c r="C8" s="7" t="s">
        <v>574</v>
      </c>
      <c r="D8" s="7" t="s">
        <v>594</v>
      </c>
      <c r="E8" s="7" t="s">
        <v>576</v>
      </c>
      <c r="F8" s="7" t="s">
        <v>577</v>
      </c>
      <c r="G8" s="7" t="s">
        <v>595</v>
      </c>
      <c r="H8" s="7" t="n">
        <v>8</v>
      </c>
    </row>
    <row r="9" customFormat="false" ht="15" hidden="false" customHeight="false" outlineLevel="0" collapsed="false">
      <c r="A9" s="7" t="s">
        <v>596</v>
      </c>
      <c r="B9" s="7" t="s">
        <v>580</v>
      </c>
      <c r="C9" s="7" t="s">
        <v>581</v>
      </c>
      <c r="D9" s="7" t="s">
        <v>597</v>
      </c>
      <c r="E9" s="7" t="s">
        <v>576</v>
      </c>
      <c r="F9" s="7" t="s">
        <v>577</v>
      </c>
      <c r="G9" s="7" t="s">
        <v>595</v>
      </c>
      <c r="H9" s="7" t="n">
        <v>9</v>
      </c>
    </row>
    <row r="10" customFormat="false" ht="15" hidden="false" customHeight="false" outlineLevel="0" collapsed="false">
      <c r="A10" s="7" t="s">
        <v>598</v>
      </c>
      <c r="B10" s="7" t="s">
        <v>145</v>
      </c>
      <c r="C10" s="7" t="s">
        <v>574</v>
      </c>
      <c r="D10" s="7" t="s">
        <v>599</v>
      </c>
      <c r="E10" s="7" t="s">
        <v>576</v>
      </c>
      <c r="F10" s="7" t="s">
        <v>577</v>
      </c>
      <c r="G10" s="7" t="s">
        <v>600</v>
      </c>
      <c r="H10" s="7" t="n">
        <v>10</v>
      </c>
    </row>
    <row r="11" customFormat="false" ht="15" hidden="false" customHeight="false" outlineLevel="0" collapsed="false">
      <c r="A11" s="7" t="s">
        <v>601</v>
      </c>
      <c r="B11" s="7" t="s">
        <v>580</v>
      </c>
      <c r="C11" s="7" t="s">
        <v>581</v>
      </c>
      <c r="D11" s="7" t="s">
        <v>602</v>
      </c>
      <c r="E11" s="7" t="s">
        <v>576</v>
      </c>
      <c r="F11" s="7" t="s">
        <v>577</v>
      </c>
      <c r="G11" s="7" t="s">
        <v>600</v>
      </c>
      <c r="H11" s="7" t="n">
        <v>11</v>
      </c>
    </row>
    <row r="12" customFormat="false" ht="15" hidden="false" customHeight="false" outlineLevel="0" collapsed="false">
      <c r="A12" s="7" t="s">
        <v>603</v>
      </c>
      <c r="B12" s="7" t="s">
        <v>145</v>
      </c>
      <c r="C12" s="7" t="s">
        <v>574</v>
      </c>
      <c r="D12" s="7" t="s">
        <v>604</v>
      </c>
      <c r="E12" s="7" t="s">
        <v>576</v>
      </c>
      <c r="F12" s="7" t="s">
        <v>577</v>
      </c>
      <c r="G12" s="7" t="s">
        <v>605</v>
      </c>
      <c r="H12" s="7" t="n">
        <v>12</v>
      </c>
    </row>
    <row r="13" customFormat="false" ht="15" hidden="false" customHeight="false" outlineLevel="0" collapsed="false">
      <c r="A13" s="7" t="s">
        <v>606</v>
      </c>
      <c r="B13" s="7" t="s">
        <v>580</v>
      </c>
      <c r="C13" s="7" t="s">
        <v>581</v>
      </c>
      <c r="D13" s="7" t="s">
        <v>607</v>
      </c>
      <c r="E13" s="7" t="s">
        <v>576</v>
      </c>
      <c r="F13" s="7" t="s">
        <v>577</v>
      </c>
      <c r="G13" s="7" t="s">
        <v>605</v>
      </c>
      <c r="H13" s="7" t="n">
        <v>13</v>
      </c>
    </row>
    <row r="14" customFormat="false" ht="15" hidden="false" customHeight="false" outlineLevel="0" collapsed="false">
      <c r="A14" s="7" t="s">
        <v>608</v>
      </c>
      <c r="B14" s="7" t="s">
        <v>145</v>
      </c>
      <c r="C14" s="7" t="s">
        <v>574</v>
      </c>
      <c r="D14" s="7" t="s">
        <v>609</v>
      </c>
      <c r="E14" s="7" t="s">
        <v>576</v>
      </c>
      <c r="F14" s="7" t="s">
        <v>577</v>
      </c>
      <c r="G14" s="7" t="s">
        <v>610</v>
      </c>
      <c r="H14" s="7" t="n">
        <v>14</v>
      </c>
    </row>
    <row r="15" customFormat="false" ht="15" hidden="false" customHeight="false" outlineLevel="0" collapsed="false">
      <c r="A15" s="7" t="s">
        <v>611</v>
      </c>
      <c r="B15" s="7" t="s">
        <v>580</v>
      </c>
      <c r="C15" s="7" t="s">
        <v>581</v>
      </c>
      <c r="D15" s="7" t="s">
        <v>612</v>
      </c>
      <c r="E15" s="7" t="s">
        <v>576</v>
      </c>
      <c r="F15" s="7" t="s">
        <v>577</v>
      </c>
      <c r="G15" s="7" t="s">
        <v>610</v>
      </c>
      <c r="H15" s="7" t="n">
        <v>15</v>
      </c>
    </row>
    <row r="16" customFormat="false" ht="15" hidden="false" customHeight="false" outlineLevel="0" collapsed="false">
      <c r="A16" s="7" t="s">
        <v>613</v>
      </c>
      <c r="B16" s="7" t="s">
        <v>145</v>
      </c>
      <c r="C16" s="7" t="s">
        <v>574</v>
      </c>
      <c r="D16" s="7" t="s">
        <v>614</v>
      </c>
      <c r="E16" s="7" t="s">
        <v>576</v>
      </c>
      <c r="F16" s="7" t="s">
        <v>577</v>
      </c>
      <c r="G16" s="7" t="s">
        <v>615</v>
      </c>
      <c r="H16" s="7" t="n">
        <v>16</v>
      </c>
    </row>
    <row r="17" customFormat="false" ht="15" hidden="false" customHeight="false" outlineLevel="0" collapsed="false">
      <c r="A17" s="7" t="s">
        <v>616</v>
      </c>
      <c r="B17" s="7" t="s">
        <v>580</v>
      </c>
      <c r="C17" s="7" t="s">
        <v>581</v>
      </c>
      <c r="D17" s="7" t="s">
        <v>617</v>
      </c>
      <c r="E17" s="7" t="s">
        <v>576</v>
      </c>
      <c r="F17" s="7" t="s">
        <v>577</v>
      </c>
      <c r="G17" s="7" t="s">
        <v>615</v>
      </c>
      <c r="H17" s="7" t="n">
        <v>17</v>
      </c>
    </row>
    <row r="18" customFormat="false" ht="15" hidden="false" customHeight="false" outlineLevel="0" collapsed="false">
      <c r="A18" s="7" t="s">
        <v>618</v>
      </c>
      <c r="B18" s="7" t="s">
        <v>145</v>
      </c>
      <c r="C18" s="7" t="s">
        <v>574</v>
      </c>
      <c r="D18" s="7" t="s">
        <v>619</v>
      </c>
      <c r="E18" s="7" t="s">
        <v>576</v>
      </c>
      <c r="F18" s="7" t="s">
        <v>577</v>
      </c>
      <c r="G18" s="7" t="s">
        <v>620</v>
      </c>
      <c r="H18" s="7" t="n">
        <v>18</v>
      </c>
    </row>
    <row r="19" customFormat="false" ht="15" hidden="false" customHeight="false" outlineLevel="0" collapsed="false">
      <c r="A19" s="7" t="s">
        <v>621</v>
      </c>
      <c r="B19" s="7" t="s">
        <v>580</v>
      </c>
      <c r="C19" s="7" t="s">
        <v>581</v>
      </c>
      <c r="D19" s="7" t="s">
        <v>622</v>
      </c>
      <c r="E19" s="7" t="s">
        <v>576</v>
      </c>
      <c r="F19" s="7" t="s">
        <v>577</v>
      </c>
      <c r="G19" s="7" t="s">
        <v>620</v>
      </c>
      <c r="H19" s="7" t="n">
        <v>19</v>
      </c>
    </row>
    <row r="20" customFormat="false" ht="15" hidden="false" customHeight="false" outlineLevel="0" collapsed="false">
      <c r="A20" s="7" t="s">
        <v>623</v>
      </c>
      <c r="B20" s="7" t="s">
        <v>145</v>
      </c>
      <c r="C20" s="7" t="s">
        <v>574</v>
      </c>
      <c r="D20" s="7" t="s">
        <v>624</v>
      </c>
      <c r="E20" s="7" t="s">
        <v>576</v>
      </c>
      <c r="F20" s="7" t="s">
        <v>577</v>
      </c>
      <c r="G20" s="7" t="s">
        <v>625</v>
      </c>
      <c r="H20" s="7" t="n">
        <v>20</v>
      </c>
    </row>
    <row r="21" customFormat="false" ht="15" hidden="false" customHeight="false" outlineLevel="0" collapsed="false">
      <c r="A21" s="7" t="s">
        <v>626</v>
      </c>
      <c r="B21" s="7" t="s">
        <v>580</v>
      </c>
      <c r="C21" s="7" t="s">
        <v>581</v>
      </c>
      <c r="D21" s="7" t="s">
        <v>627</v>
      </c>
      <c r="E21" s="7" t="s">
        <v>576</v>
      </c>
      <c r="F21" s="7" t="s">
        <v>577</v>
      </c>
      <c r="G21" s="7" t="s">
        <v>625</v>
      </c>
      <c r="H21" s="7" t="n">
        <v>21</v>
      </c>
    </row>
    <row r="22" customFormat="false" ht="15" hidden="false" customHeight="false" outlineLevel="0" collapsed="false">
      <c r="A22" s="7" t="s">
        <v>628</v>
      </c>
      <c r="B22" s="7" t="s">
        <v>145</v>
      </c>
      <c r="C22" s="7" t="s">
        <v>574</v>
      </c>
      <c r="D22" s="7" t="s">
        <v>629</v>
      </c>
      <c r="E22" s="7" t="s">
        <v>576</v>
      </c>
      <c r="F22" s="7" t="s">
        <v>577</v>
      </c>
      <c r="G22" s="7" t="s">
        <v>630</v>
      </c>
      <c r="H22" s="7" t="n">
        <v>22</v>
      </c>
    </row>
    <row r="23" customFormat="false" ht="15" hidden="false" customHeight="false" outlineLevel="0" collapsed="false">
      <c r="A23" s="7" t="s">
        <v>631</v>
      </c>
      <c r="B23" s="7" t="s">
        <v>145</v>
      </c>
      <c r="C23" s="7" t="s">
        <v>574</v>
      </c>
      <c r="D23" s="7" t="s">
        <v>632</v>
      </c>
      <c r="E23" s="7" t="s">
        <v>576</v>
      </c>
      <c r="F23" s="7" t="s">
        <v>577</v>
      </c>
      <c r="G23" s="7" t="s">
        <v>633</v>
      </c>
      <c r="H23" s="7" t="n">
        <v>23</v>
      </c>
    </row>
    <row r="24" customFormat="false" ht="15" hidden="false" customHeight="false" outlineLevel="0" collapsed="false">
      <c r="A24" s="7" t="s">
        <v>634</v>
      </c>
      <c r="B24" s="7" t="s">
        <v>145</v>
      </c>
      <c r="C24" s="7" t="s">
        <v>574</v>
      </c>
      <c r="D24" s="7" t="s">
        <v>635</v>
      </c>
      <c r="E24" s="7" t="s">
        <v>576</v>
      </c>
      <c r="F24" s="7" t="s">
        <v>577</v>
      </c>
      <c r="G24" s="7" t="s">
        <v>636</v>
      </c>
      <c r="H24" s="7" t="n">
        <v>24</v>
      </c>
    </row>
    <row r="25" customFormat="false" ht="15" hidden="false" customHeight="false" outlineLevel="0" collapsed="false">
      <c r="A25" s="7" t="s">
        <v>637</v>
      </c>
      <c r="B25" s="7" t="s">
        <v>145</v>
      </c>
      <c r="C25" s="7" t="s">
        <v>574</v>
      </c>
      <c r="D25" s="7" t="s">
        <v>638</v>
      </c>
      <c r="E25" s="7" t="s">
        <v>576</v>
      </c>
      <c r="F25" s="7" t="s">
        <v>577</v>
      </c>
      <c r="G25" s="7" t="s">
        <v>639</v>
      </c>
      <c r="H25" s="7" t="n">
        <v>25</v>
      </c>
    </row>
    <row r="26" customFormat="false" ht="15" hidden="false" customHeight="false" outlineLevel="0" collapsed="false">
      <c r="A26" s="7" t="s">
        <v>640</v>
      </c>
      <c r="B26" s="7" t="s">
        <v>145</v>
      </c>
      <c r="C26" s="7" t="s">
        <v>574</v>
      </c>
      <c r="D26" s="7" t="s">
        <v>641</v>
      </c>
      <c r="E26" s="7" t="s">
        <v>576</v>
      </c>
      <c r="F26" s="7" t="s">
        <v>577</v>
      </c>
      <c r="G26" s="7" t="s">
        <v>642</v>
      </c>
      <c r="H26" s="7" t="n">
        <v>26</v>
      </c>
    </row>
    <row r="27" customFormat="false" ht="15" hidden="false" customHeight="false" outlineLevel="0" collapsed="false">
      <c r="A27" s="7" t="s">
        <v>161</v>
      </c>
      <c r="B27" s="7" t="s">
        <v>145</v>
      </c>
      <c r="C27" s="7" t="s">
        <v>574</v>
      </c>
      <c r="D27" s="7" t="s">
        <v>162</v>
      </c>
      <c r="E27" s="7" t="s">
        <v>576</v>
      </c>
      <c r="F27" s="7" t="s">
        <v>577</v>
      </c>
      <c r="G27" s="7" t="s">
        <v>643</v>
      </c>
      <c r="H27" s="7" t="n">
        <v>27</v>
      </c>
    </row>
    <row r="28" customFormat="false" ht="15" hidden="false" customHeight="false" outlineLevel="0" collapsed="false">
      <c r="A28" s="7" t="s">
        <v>166</v>
      </c>
      <c r="B28" s="7" t="s">
        <v>145</v>
      </c>
      <c r="C28" s="7" t="s">
        <v>574</v>
      </c>
      <c r="D28" s="7" t="s">
        <v>167</v>
      </c>
      <c r="E28" s="7" t="s">
        <v>576</v>
      </c>
      <c r="F28" s="7" t="s">
        <v>577</v>
      </c>
      <c r="G28" s="7" t="s">
        <v>644</v>
      </c>
      <c r="H28" s="7" t="n">
        <v>28</v>
      </c>
    </row>
    <row r="29" customFormat="false" ht="15" hidden="false" customHeight="false" outlineLevel="0" collapsed="false">
      <c r="A29" s="7" t="s">
        <v>172</v>
      </c>
      <c r="B29" s="7" t="s">
        <v>145</v>
      </c>
      <c r="C29" s="7" t="s">
        <v>574</v>
      </c>
      <c r="D29" s="7" t="s">
        <v>173</v>
      </c>
      <c r="E29" s="7" t="s">
        <v>576</v>
      </c>
      <c r="F29" s="7" t="s">
        <v>577</v>
      </c>
      <c r="G29" s="7" t="s">
        <v>645</v>
      </c>
      <c r="H29" s="7" t="n">
        <v>29</v>
      </c>
    </row>
    <row r="30" customFormat="false" ht="15" hidden="false" customHeight="false" outlineLevel="0" collapsed="false">
      <c r="A30" s="7" t="s">
        <v>176</v>
      </c>
      <c r="B30" s="7" t="s">
        <v>145</v>
      </c>
      <c r="C30" s="7" t="s">
        <v>574</v>
      </c>
      <c r="D30" s="7" t="s">
        <v>177</v>
      </c>
      <c r="E30" s="7" t="s">
        <v>576</v>
      </c>
      <c r="F30" s="7" t="s">
        <v>577</v>
      </c>
      <c r="G30" s="7" t="s">
        <v>646</v>
      </c>
      <c r="H30" s="7" t="n">
        <v>30</v>
      </c>
    </row>
    <row r="31" customFormat="false" ht="15" hidden="false" customHeight="false" outlineLevel="0" collapsed="false">
      <c r="A31" s="7" t="s">
        <v>192</v>
      </c>
      <c r="B31" s="7" t="s">
        <v>145</v>
      </c>
      <c r="C31" s="7" t="s">
        <v>574</v>
      </c>
      <c r="D31" s="7" t="s">
        <v>193</v>
      </c>
      <c r="E31" s="7" t="s">
        <v>576</v>
      </c>
      <c r="F31" s="7" t="s">
        <v>577</v>
      </c>
      <c r="G31" s="7" t="s">
        <v>647</v>
      </c>
      <c r="H31" s="7" t="n">
        <v>31</v>
      </c>
    </row>
    <row r="32" customFormat="false" ht="15" hidden="false" customHeight="false" outlineLevel="0" collapsed="false">
      <c r="A32" s="7" t="s">
        <v>198</v>
      </c>
      <c r="B32" s="7" t="s">
        <v>145</v>
      </c>
      <c r="C32" s="7" t="s">
        <v>574</v>
      </c>
      <c r="D32" s="7" t="s">
        <v>199</v>
      </c>
      <c r="E32" s="7" t="s">
        <v>576</v>
      </c>
      <c r="F32" s="7" t="s">
        <v>577</v>
      </c>
      <c r="G32" s="7" t="s">
        <v>648</v>
      </c>
      <c r="H32" s="7" t="n">
        <v>32</v>
      </c>
    </row>
    <row r="33" customFormat="false" ht="15" hidden="false" customHeight="false" outlineLevel="0" collapsed="false">
      <c r="A33" s="7" t="s">
        <v>182</v>
      </c>
      <c r="B33" s="7" t="s">
        <v>145</v>
      </c>
      <c r="C33" s="7" t="s">
        <v>574</v>
      </c>
      <c r="D33" s="7" t="s">
        <v>183</v>
      </c>
      <c r="E33" s="7" t="s">
        <v>576</v>
      </c>
      <c r="F33" s="7" t="s">
        <v>577</v>
      </c>
      <c r="G33" s="7" t="s">
        <v>649</v>
      </c>
      <c r="H33" s="7" t="n">
        <v>33</v>
      </c>
    </row>
    <row r="34" customFormat="false" ht="15" hidden="false" customHeight="false" outlineLevel="0" collapsed="false">
      <c r="A34" s="7" t="s">
        <v>186</v>
      </c>
      <c r="B34" s="7" t="s">
        <v>145</v>
      </c>
      <c r="C34" s="7" t="s">
        <v>574</v>
      </c>
      <c r="D34" s="7" t="s">
        <v>187</v>
      </c>
      <c r="E34" s="7" t="s">
        <v>576</v>
      </c>
      <c r="F34" s="7" t="s">
        <v>577</v>
      </c>
      <c r="G34" s="7" t="s">
        <v>650</v>
      </c>
      <c r="H34" s="7" t="n">
        <v>34</v>
      </c>
    </row>
    <row r="35" customFormat="false" ht="15" hidden="false" customHeight="false" outlineLevel="0" collapsed="false">
      <c r="A35" s="7" t="s">
        <v>204</v>
      </c>
      <c r="B35" s="7" t="s">
        <v>145</v>
      </c>
      <c r="C35" s="7" t="s">
        <v>574</v>
      </c>
      <c r="D35" s="7" t="s">
        <v>205</v>
      </c>
      <c r="E35" s="7" t="s">
        <v>576</v>
      </c>
      <c r="F35" s="7" t="s">
        <v>577</v>
      </c>
      <c r="G35" s="7" t="s">
        <v>651</v>
      </c>
      <c r="H35" s="7" t="n">
        <v>35</v>
      </c>
    </row>
    <row r="36" customFormat="false" ht="15" hidden="false" customHeight="false" outlineLevel="0" collapsed="false">
      <c r="A36" s="7" t="s">
        <v>210</v>
      </c>
      <c r="B36" s="7" t="s">
        <v>145</v>
      </c>
      <c r="C36" s="7" t="s">
        <v>574</v>
      </c>
      <c r="D36" s="7" t="s">
        <v>211</v>
      </c>
      <c r="E36" s="7" t="s">
        <v>576</v>
      </c>
      <c r="F36" s="7" t="s">
        <v>577</v>
      </c>
      <c r="G36" s="7" t="s">
        <v>652</v>
      </c>
      <c r="H36" s="7" t="n">
        <v>36</v>
      </c>
    </row>
    <row r="37" customFormat="false" ht="15" hidden="false" customHeight="false" outlineLevel="0" collapsed="false">
      <c r="A37" s="7" t="s">
        <v>216</v>
      </c>
      <c r="B37" s="7" t="s">
        <v>145</v>
      </c>
      <c r="C37" s="7" t="s">
        <v>574</v>
      </c>
      <c r="D37" s="7" t="s">
        <v>217</v>
      </c>
      <c r="E37" s="7" t="s">
        <v>576</v>
      </c>
      <c r="F37" s="7" t="s">
        <v>577</v>
      </c>
      <c r="G37" s="7" t="s">
        <v>653</v>
      </c>
      <c r="H37" s="7" t="n">
        <v>37</v>
      </c>
    </row>
    <row r="38" customFormat="false" ht="15" hidden="false" customHeight="false" outlineLevel="0" collapsed="false">
      <c r="A38" s="7" t="s">
        <v>223</v>
      </c>
      <c r="B38" s="7" t="s">
        <v>145</v>
      </c>
      <c r="C38" s="7" t="s">
        <v>574</v>
      </c>
      <c r="D38" s="7" t="s">
        <v>224</v>
      </c>
      <c r="E38" s="7" t="s">
        <v>576</v>
      </c>
      <c r="F38" s="7" t="s">
        <v>577</v>
      </c>
      <c r="G38" s="7" t="s">
        <v>654</v>
      </c>
      <c r="H38" s="7" t="n">
        <v>38</v>
      </c>
    </row>
    <row r="39" customFormat="false" ht="15" hidden="false" customHeight="false" outlineLevel="0" collapsed="false">
      <c r="A39" s="7" t="s">
        <v>231</v>
      </c>
      <c r="B39" s="7" t="s">
        <v>145</v>
      </c>
      <c r="C39" s="7" t="s">
        <v>655</v>
      </c>
      <c r="D39" s="7" t="s">
        <v>232</v>
      </c>
      <c r="E39" s="7" t="s">
        <v>576</v>
      </c>
      <c r="F39" s="7" t="s">
        <v>577</v>
      </c>
      <c r="G39" s="7" t="s">
        <v>656</v>
      </c>
      <c r="H39" s="7" t="n">
        <v>39</v>
      </c>
    </row>
    <row r="40" customFormat="false" ht="15" hidden="false" customHeight="false" outlineLevel="0" collapsed="false">
      <c r="A40" s="7" t="s">
        <v>240</v>
      </c>
      <c r="B40" s="7" t="s">
        <v>145</v>
      </c>
      <c r="C40" s="7" t="s">
        <v>574</v>
      </c>
      <c r="D40" s="7" t="s">
        <v>241</v>
      </c>
      <c r="E40" s="7" t="s">
        <v>576</v>
      </c>
      <c r="F40" s="7" t="s">
        <v>577</v>
      </c>
      <c r="G40" s="7" t="s">
        <v>657</v>
      </c>
      <c r="H40" s="7" t="n">
        <v>40</v>
      </c>
    </row>
    <row r="41" customFormat="false" ht="15" hidden="false" customHeight="false" outlineLevel="0" collapsed="false">
      <c r="A41" s="7" t="s">
        <v>247</v>
      </c>
      <c r="B41" s="7" t="s">
        <v>145</v>
      </c>
      <c r="C41" s="7" t="s">
        <v>574</v>
      </c>
      <c r="D41" s="7" t="s">
        <v>248</v>
      </c>
      <c r="E41" s="7" t="s">
        <v>576</v>
      </c>
      <c r="F41" s="7" t="s">
        <v>577</v>
      </c>
      <c r="G41" s="7" t="s">
        <v>658</v>
      </c>
      <c r="H41" s="7" t="n">
        <v>41</v>
      </c>
    </row>
    <row r="42" customFormat="false" ht="15" hidden="false" customHeight="false" outlineLevel="0" collapsed="false">
      <c r="A42" s="7" t="s">
        <v>253</v>
      </c>
      <c r="B42" s="7" t="s">
        <v>145</v>
      </c>
      <c r="C42" s="7" t="s">
        <v>574</v>
      </c>
      <c r="D42" s="7" t="s">
        <v>254</v>
      </c>
      <c r="E42" s="7" t="s">
        <v>576</v>
      </c>
      <c r="F42" s="7" t="s">
        <v>577</v>
      </c>
      <c r="G42" s="7" t="s">
        <v>659</v>
      </c>
      <c r="H42" s="7" t="n">
        <v>42</v>
      </c>
    </row>
    <row r="43" customFormat="false" ht="15" hidden="false" customHeight="false" outlineLevel="0" collapsed="false">
      <c r="A43" s="7" t="s">
        <v>260</v>
      </c>
      <c r="B43" s="7" t="s">
        <v>145</v>
      </c>
      <c r="C43" s="7" t="s">
        <v>574</v>
      </c>
      <c r="D43" s="7" t="s">
        <v>261</v>
      </c>
      <c r="E43" s="7" t="s">
        <v>576</v>
      </c>
      <c r="F43" s="7" t="s">
        <v>577</v>
      </c>
      <c r="G43" s="7" t="s">
        <v>660</v>
      </c>
      <c r="H43" s="7" t="n">
        <v>43</v>
      </c>
    </row>
    <row r="44" customFormat="false" ht="15" hidden="false" customHeight="false" outlineLevel="0" collapsed="false">
      <c r="A44" s="7" t="s">
        <v>661</v>
      </c>
      <c r="B44" s="7" t="s">
        <v>145</v>
      </c>
      <c r="C44" s="7" t="s">
        <v>662</v>
      </c>
      <c r="D44" s="7" t="s">
        <v>663</v>
      </c>
      <c r="E44" s="7" t="s">
        <v>576</v>
      </c>
      <c r="F44" s="7" t="s">
        <v>664</v>
      </c>
      <c r="G44" s="7" t="s">
        <v>665</v>
      </c>
      <c r="H44" s="7" t="n">
        <v>44</v>
      </c>
    </row>
    <row r="45" customFormat="false" ht="15" hidden="false" customHeight="false" outlineLevel="0" collapsed="false">
      <c r="A45" s="7" t="s">
        <v>495</v>
      </c>
      <c r="B45" s="7" t="s">
        <v>666</v>
      </c>
      <c r="C45" s="7" t="s">
        <v>667</v>
      </c>
      <c r="D45" s="7" t="s">
        <v>668</v>
      </c>
      <c r="E45" s="7" t="s">
        <v>576</v>
      </c>
      <c r="F45" s="7" t="s">
        <v>669</v>
      </c>
      <c r="G45" s="7" t="s">
        <v>670</v>
      </c>
      <c r="H45" s="7" t="n">
        <v>45</v>
      </c>
    </row>
    <row r="46" customFormat="false" ht="23.85" hidden="false" customHeight="false" outlineLevel="0" collapsed="false">
      <c r="A46" s="7" t="s">
        <v>143</v>
      </c>
      <c r="B46" s="7" t="s">
        <v>145</v>
      </c>
      <c r="C46" s="7" t="s">
        <v>667</v>
      </c>
      <c r="D46" s="7" t="s">
        <v>671</v>
      </c>
      <c r="E46" s="7" t="s">
        <v>576</v>
      </c>
      <c r="F46" s="7" t="s">
        <v>669</v>
      </c>
      <c r="G46" s="7" t="s">
        <v>672</v>
      </c>
      <c r="H46" s="7" t="n">
        <v>46</v>
      </c>
    </row>
    <row r="47" customFormat="false" ht="23.85" hidden="false" customHeight="false" outlineLevel="0" collapsed="false">
      <c r="A47" s="7" t="s">
        <v>135</v>
      </c>
      <c r="B47" s="7" t="s">
        <v>673</v>
      </c>
      <c r="C47" s="7" t="s">
        <v>674</v>
      </c>
      <c r="D47" s="7" t="s">
        <v>675</v>
      </c>
      <c r="E47" s="7" t="s">
        <v>576</v>
      </c>
      <c r="F47" s="7" t="s">
        <v>669</v>
      </c>
      <c r="G47" s="7" t="s">
        <v>676</v>
      </c>
      <c r="H47" s="7" t="n">
        <v>47</v>
      </c>
    </row>
    <row r="48" customFormat="false" ht="15" hidden="false" customHeight="false" outlineLevel="0" collapsed="false">
      <c r="A48" s="7" t="s">
        <v>505</v>
      </c>
      <c r="B48" s="7" t="s">
        <v>677</v>
      </c>
      <c r="C48" s="7" t="s">
        <v>678</v>
      </c>
      <c r="D48" s="7" t="s">
        <v>679</v>
      </c>
      <c r="E48" s="7" t="s">
        <v>576</v>
      </c>
      <c r="F48" s="7" t="s">
        <v>577</v>
      </c>
      <c r="G48" s="7" t="s">
        <v>680</v>
      </c>
      <c r="H48" s="7" t="n">
        <v>48</v>
      </c>
    </row>
    <row r="49" customFormat="false" ht="15" hidden="false" customHeight="false" outlineLevel="0" collapsed="false">
      <c r="A49" s="7" t="s">
        <v>681</v>
      </c>
      <c r="B49" s="7" t="s">
        <v>145</v>
      </c>
      <c r="C49" s="7" t="s">
        <v>682</v>
      </c>
      <c r="D49" s="7" t="s">
        <v>683</v>
      </c>
      <c r="E49" s="7" t="s">
        <v>576</v>
      </c>
      <c r="F49" s="7" t="s">
        <v>577</v>
      </c>
      <c r="G49" s="7" t="s">
        <v>684</v>
      </c>
      <c r="H49" s="7" t="n">
        <v>49</v>
      </c>
    </row>
    <row r="50" customFormat="false" ht="15" hidden="false" customHeight="false" outlineLevel="0" collapsed="false">
      <c r="A50" s="7" t="s">
        <v>462</v>
      </c>
      <c r="B50" s="7" t="s">
        <v>685</v>
      </c>
      <c r="C50" s="7" t="s">
        <v>686</v>
      </c>
      <c r="D50" s="7" t="s">
        <v>687</v>
      </c>
      <c r="E50" s="7" t="s">
        <v>463</v>
      </c>
      <c r="F50" s="7" t="s">
        <v>688</v>
      </c>
      <c r="G50" s="7" t="s">
        <v>689</v>
      </c>
      <c r="H50" s="7" t="n">
        <v>50</v>
      </c>
    </row>
    <row r="51" customFormat="false" ht="15" hidden="false" customHeight="false" outlineLevel="0" collapsed="false">
      <c r="A51" s="7" t="s">
        <v>490</v>
      </c>
      <c r="B51" s="7" t="s">
        <v>145</v>
      </c>
      <c r="C51" s="7" t="s">
        <v>690</v>
      </c>
      <c r="D51" s="7" t="s">
        <v>691</v>
      </c>
      <c r="E51" s="7" t="s">
        <v>576</v>
      </c>
      <c r="F51" s="7" t="s">
        <v>688</v>
      </c>
      <c r="G51" s="7" t="s">
        <v>692</v>
      </c>
      <c r="H51" s="7" t="n">
        <v>51</v>
      </c>
    </row>
    <row r="52" customFormat="false" ht="15" hidden="false" customHeight="false" outlineLevel="0" collapsed="false">
      <c r="A52" s="7" t="s">
        <v>693</v>
      </c>
      <c r="B52" s="7" t="s">
        <v>694</v>
      </c>
      <c r="C52" s="7" t="s">
        <v>695</v>
      </c>
      <c r="D52" s="7" t="s">
        <v>696</v>
      </c>
      <c r="E52" s="7" t="s">
        <v>576</v>
      </c>
      <c r="F52" s="7" t="s">
        <v>688</v>
      </c>
      <c r="G52" s="7" t="s">
        <v>697</v>
      </c>
      <c r="H52" s="7" t="n">
        <v>52</v>
      </c>
    </row>
    <row r="53" customFormat="false" ht="15" hidden="false" customHeight="false" outlineLevel="0" collapsed="false">
      <c r="A53" s="7" t="s">
        <v>519</v>
      </c>
      <c r="B53" s="7" t="s">
        <v>698</v>
      </c>
      <c r="C53" s="7" t="s">
        <v>699</v>
      </c>
      <c r="D53" s="7" t="s">
        <v>700</v>
      </c>
      <c r="E53" s="7" t="s">
        <v>576</v>
      </c>
      <c r="F53" s="7" t="s">
        <v>518</v>
      </c>
      <c r="G53" s="7" t="s">
        <v>701</v>
      </c>
      <c r="H53" s="7" t="n">
        <v>53</v>
      </c>
    </row>
    <row r="54" customFormat="false" ht="15" hidden="false" customHeight="false" outlineLevel="0" collapsed="false">
      <c r="A54" s="7" t="s">
        <v>702</v>
      </c>
      <c r="B54" s="7" t="s">
        <v>145</v>
      </c>
      <c r="C54" s="7" t="s">
        <v>703</v>
      </c>
      <c r="D54" s="7" t="s">
        <v>704</v>
      </c>
      <c r="E54" s="7" t="s">
        <v>576</v>
      </c>
      <c r="F54" s="7" t="s">
        <v>664</v>
      </c>
      <c r="G54" s="7" t="s">
        <v>705</v>
      </c>
      <c r="H54" s="7" t="n">
        <v>54</v>
      </c>
    </row>
    <row r="55" customFormat="false" ht="15" hidden="false" customHeight="false" outlineLevel="0" collapsed="false">
      <c r="A55" s="7" t="s">
        <v>706</v>
      </c>
      <c r="B55" s="7" t="s">
        <v>707</v>
      </c>
      <c r="C55" s="7" t="s">
        <v>708</v>
      </c>
      <c r="D55" s="7" t="s">
        <v>709</v>
      </c>
      <c r="E55" s="7" t="s">
        <v>710</v>
      </c>
      <c r="F55" s="7" t="s">
        <v>577</v>
      </c>
      <c r="G55" s="7" t="s">
        <v>578</v>
      </c>
      <c r="H55" s="7" t="n">
        <v>55</v>
      </c>
    </row>
    <row r="56" customFormat="false" ht="15" hidden="false" customHeight="false" outlineLevel="0" collapsed="false">
      <c r="A56" s="7" t="s">
        <v>711</v>
      </c>
      <c r="B56" s="7" t="s">
        <v>712</v>
      </c>
      <c r="C56" s="7" t="s">
        <v>708</v>
      </c>
      <c r="D56" s="7" t="s">
        <v>713</v>
      </c>
      <c r="E56" s="7" t="s">
        <v>710</v>
      </c>
      <c r="F56" s="7" t="s">
        <v>577</v>
      </c>
      <c r="G56" s="7" t="s">
        <v>590</v>
      </c>
      <c r="H56" s="7" t="n">
        <v>56</v>
      </c>
    </row>
    <row r="57" customFormat="false" ht="15" hidden="false" customHeight="false" outlineLevel="0" collapsed="false">
      <c r="A57" s="7" t="s">
        <v>714</v>
      </c>
      <c r="B57" s="7" t="s">
        <v>707</v>
      </c>
      <c r="C57" s="7" t="s">
        <v>708</v>
      </c>
      <c r="D57" s="7" t="s">
        <v>715</v>
      </c>
      <c r="E57" s="7" t="s">
        <v>710</v>
      </c>
      <c r="F57" s="7" t="s">
        <v>577</v>
      </c>
      <c r="G57" s="7" t="s">
        <v>600</v>
      </c>
      <c r="H57" s="7" t="n">
        <v>57</v>
      </c>
    </row>
    <row r="58" customFormat="false" ht="15" hidden="false" customHeight="false" outlineLevel="0" collapsed="false">
      <c r="A58" s="7" t="s">
        <v>716</v>
      </c>
      <c r="B58" s="7" t="s">
        <v>707</v>
      </c>
      <c r="C58" s="7" t="s">
        <v>708</v>
      </c>
      <c r="D58" s="7" t="s">
        <v>717</v>
      </c>
      <c r="E58" s="7" t="s">
        <v>710</v>
      </c>
      <c r="F58" s="7" t="s">
        <v>577</v>
      </c>
      <c r="G58" s="7" t="s">
        <v>605</v>
      </c>
      <c r="H58" s="7" t="n">
        <v>58</v>
      </c>
    </row>
    <row r="59" customFormat="false" ht="15" hidden="false" customHeight="false" outlineLevel="0" collapsed="false">
      <c r="A59" s="7" t="s">
        <v>718</v>
      </c>
      <c r="B59" s="7" t="s">
        <v>719</v>
      </c>
      <c r="C59" s="7" t="s">
        <v>708</v>
      </c>
      <c r="D59" s="7" t="s">
        <v>720</v>
      </c>
      <c r="E59" s="7" t="s">
        <v>710</v>
      </c>
      <c r="F59" s="7" t="s">
        <v>688</v>
      </c>
      <c r="G59" s="7" t="s">
        <v>721</v>
      </c>
      <c r="H59" s="7" t="n">
        <v>59</v>
      </c>
    </row>
    <row r="60" customFormat="false" ht="15" hidden="false" customHeight="false" outlineLevel="0" collapsed="false">
      <c r="A60" s="7" t="s">
        <v>722</v>
      </c>
      <c r="B60" s="7" t="s">
        <v>723</v>
      </c>
      <c r="C60" s="7" t="s">
        <v>708</v>
      </c>
      <c r="D60" s="7" t="s">
        <v>724</v>
      </c>
      <c r="E60" s="7" t="s">
        <v>710</v>
      </c>
      <c r="F60" s="7" t="s">
        <v>669</v>
      </c>
      <c r="G60" s="7" t="s">
        <v>725</v>
      </c>
      <c r="H60" s="7" t="n">
        <v>60</v>
      </c>
    </row>
  </sheetData>
  <autoFilter ref="A1:H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0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6" t="s">
        <v>726</v>
      </c>
      <c r="B1" s="6" t="s">
        <v>727</v>
      </c>
      <c r="C1" s="6" t="s">
        <v>728</v>
      </c>
    </row>
    <row r="2" customFormat="false" ht="15" hidden="false" customHeight="false" outlineLevel="0" collapsed="false">
      <c r="A2" s="7" t="s">
        <v>729</v>
      </c>
      <c r="B2" s="7" t="s">
        <v>730</v>
      </c>
      <c r="C2" s="7" t="s">
        <v>731</v>
      </c>
    </row>
    <row r="3" customFormat="false" ht="15" hidden="false" customHeight="false" outlineLevel="0" collapsed="false">
      <c r="A3" s="7" t="s">
        <v>732</v>
      </c>
      <c r="B3" s="7" t="s">
        <v>730</v>
      </c>
      <c r="C3" s="7" t="s">
        <v>731</v>
      </c>
    </row>
    <row r="4" customFormat="false" ht="15" hidden="false" customHeight="false" outlineLevel="0" collapsed="false">
      <c r="A4" s="7" t="s">
        <v>733</v>
      </c>
      <c r="B4" s="7" t="s">
        <v>730</v>
      </c>
      <c r="C4" s="7" t="s">
        <v>731</v>
      </c>
    </row>
    <row r="5" customFormat="false" ht="15" hidden="false" customHeight="false" outlineLevel="0" collapsed="false">
      <c r="A5" s="7" t="s">
        <v>734</v>
      </c>
      <c r="B5" s="7" t="s">
        <v>730</v>
      </c>
      <c r="C5" s="7" t="s">
        <v>731</v>
      </c>
    </row>
    <row r="6" customFormat="false" ht="15" hidden="false" customHeight="false" outlineLevel="0" collapsed="false">
      <c r="A6" s="7" t="s">
        <v>735</v>
      </c>
      <c r="B6" s="7" t="s">
        <v>730</v>
      </c>
      <c r="C6" s="7" t="s">
        <v>731</v>
      </c>
    </row>
    <row r="7" customFormat="false" ht="15" hidden="false" customHeight="false" outlineLevel="0" collapsed="false">
      <c r="A7" s="7" t="s">
        <v>736</v>
      </c>
      <c r="B7" s="7" t="s">
        <v>730</v>
      </c>
      <c r="C7" s="7" t="s">
        <v>737</v>
      </c>
    </row>
    <row r="8" customFormat="false" ht="15" hidden="false" customHeight="false" outlineLevel="0" collapsed="false">
      <c r="A8" s="7" t="s">
        <v>738</v>
      </c>
      <c r="B8" s="7" t="s">
        <v>730</v>
      </c>
      <c r="C8" s="7" t="s">
        <v>739</v>
      </c>
    </row>
    <row r="9" customFormat="false" ht="23.85" hidden="false" customHeight="false" outlineLevel="0" collapsed="false">
      <c r="A9" s="7" t="s">
        <v>740</v>
      </c>
      <c r="B9" s="7" t="s">
        <v>730</v>
      </c>
      <c r="C9" s="7" t="s">
        <v>741</v>
      </c>
    </row>
    <row r="10" customFormat="false" ht="15" hidden="false" customHeight="false" outlineLevel="0" collapsed="false">
      <c r="A10" s="7" t="s">
        <v>742</v>
      </c>
      <c r="B10" s="7" t="s">
        <v>730</v>
      </c>
      <c r="C10" s="7" t="s">
        <v>743</v>
      </c>
    </row>
    <row r="11" customFormat="false" ht="35.05" hidden="false" customHeight="false" outlineLevel="0" collapsed="false">
      <c r="A11" s="7" t="s">
        <v>744</v>
      </c>
      <c r="B11" s="7" t="s">
        <v>730</v>
      </c>
      <c r="C11" s="7" t="s">
        <v>745</v>
      </c>
    </row>
    <row r="12" customFormat="false" ht="15" hidden="false" customHeight="false" outlineLevel="0" collapsed="false">
      <c r="A12" s="7" t="s">
        <v>746</v>
      </c>
      <c r="B12" s="7" t="s">
        <v>730</v>
      </c>
      <c r="C12" s="7" t="s">
        <v>747</v>
      </c>
    </row>
    <row r="13" customFormat="false" ht="15" hidden="false" customHeight="false" outlineLevel="0" collapsed="false">
      <c r="A13" s="7" t="s">
        <v>748</v>
      </c>
      <c r="B13" s="7" t="s">
        <v>730</v>
      </c>
      <c r="C13" s="7" t="s">
        <v>749</v>
      </c>
    </row>
    <row r="14" customFormat="false" ht="15" hidden="false" customHeight="false" outlineLevel="0" collapsed="false">
      <c r="A14" s="7" t="s">
        <v>750</v>
      </c>
      <c r="B14" s="7" t="s">
        <v>730</v>
      </c>
      <c r="C14" s="7" t="s">
        <v>751</v>
      </c>
    </row>
    <row r="15" customFormat="false" ht="23.85" hidden="false" customHeight="false" outlineLevel="0" collapsed="false">
      <c r="A15" s="7" t="s">
        <v>752</v>
      </c>
      <c r="B15" s="7" t="s">
        <v>730</v>
      </c>
      <c r="C15" s="7" t="s">
        <v>753</v>
      </c>
    </row>
    <row r="16" customFormat="false" ht="15" hidden="false" customHeight="false" outlineLevel="0" collapsed="false">
      <c r="A16" s="7" t="s">
        <v>754</v>
      </c>
      <c r="B16" s="7" t="s">
        <v>730</v>
      </c>
      <c r="C16" s="7" t="s">
        <v>755</v>
      </c>
    </row>
    <row r="17" customFormat="false" ht="15" hidden="false" customHeight="false" outlineLevel="0" collapsed="false">
      <c r="A17" s="7" t="s">
        <v>756</v>
      </c>
      <c r="B17" s="7" t="s">
        <v>730</v>
      </c>
      <c r="C17" s="7" t="s">
        <v>757</v>
      </c>
    </row>
    <row r="18" customFormat="false" ht="15" hidden="false" customHeight="false" outlineLevel="0" collapsed="false">
      <c r="A18" s="7" t="s">
        <v>758</v>
      </c>
      <c r="B18" s="7" t="s">
        <v>730</v>
      </c>
      <c r="C18" s="7" t="s">
        <v>759</v>
      </c>
    </row>
    <row r="19" customFormat="false" ht="23.85" hidden="false" customHeight="false" outlineLevel="0" collapsed="false">
      <c r="A19" s="7" t="s">
        <v>760</v>
      </c>
      <c r="B19" s="7" t="s">
        <v>730</v>
      </c>
      <c r="C19" s="7" t="s">
        <v>761</v>
      </c>
    </row>
    <row r="20" customFormat="false" ht="15" hidden="false" customHeight="false" outlineLevel="0" collapsed="false">
      <c r="A20" s="7" t="s">
        <v>762</v>
      </c>
      <c r="B20" s="7" t="s">
        <v>730</v>
      </c>
      <c r="C20" s="7" t="s">
        <v>763</v>
      </c>
    </row>
    <row r="21" customFormat="false" ht="15" hidden="false" customHeight="false" outlineLevel="0" collapsed="false">
      <c r="A21" s="7" t="s">
        <v>764</v>
      </c>
      <c r="B21" s="7" t="s">
        <v>730</v>
      </c>
      <c r="C21" s="7" t="s">
        <v>765</v>
      </c>
    </row>
    <row r="22" customFormat="false" ht="15" hidden="false" customHeight="false" outlineLevel="0" collapsed="false">
      <c r="A22" s="7" t="s">
        <v>766</v>
      </c>
      <c r="B22" s="7" t="s">
        <v>730</v>
      </c>
      <c r="C22" s="7" t="s">
        <v>767</v>
      </c>
    </row>
    <row r="23" customFormat="false" ht="23.85" hidden="false" customHeight="false" outlineLevel="0" collapsed="false">
      <c r="A23" s="7" t="s">
        <v>768</v>
      </c>
      <c r="B23" s="7" t="s">
        <v>730</v>
      </c>
      <c r="C23" s="7" t="s">
        <v>769</v>
      </c>
    </row>
    <row r="24" customFormat="false" ht="15" hidden="false" customHeight="false" outlineLevel="0" collapsed="false">
      <c r="A24" s="7" t="s">
        <v>770</v>
      </c>
      <c r="B24" s="7" t="s">
        <v>730</v>
      </c>
      <c r="C24" s="7" t="s">
        <v>771</v>
      </c>
    </row>
    <row r="25" customFormat="false" ht="15" hidden="false" customHeight="false" outlineLevel="0" collapsed="false">
      <c r="A25" s="7" t="s">
        <v>772</v>
      </c>
      <c r="B25" s="7" t="s">
        <v>730</v>
      </c>
      <c r="C25" s="7" t="s">
        <v>773</v>
      </c>
    </row>
    <row r="26" customFormat="false" ht="15" hidden="false" customHeight="false" outlineLevel="0" collapsed="false">
      <c r="A26" s="7" t="s">
        <v>774</v>
      </c>
      <c r="B26" s="7" t="s">
        <v>730</v>
      </c>
      <c r="C26" s="7" t="s">
        <v>775</v>
      </c>
    </row>
    <row r="27" customFormat="false" ht="23.85" hidden="false" customHeight="false" outlineLevel="0" collapsed="false">
      <c r="A27" s="7" t="s">
        <v>776</v>
      </c>
      <c r="B27" s="7" t="s">
        <v>730</v>
      </c>
      <c r="C27" s="7" t="s">
        <v>777</v>
      </c>
    </row>
    <row r="28" customFormat="false" ht="15" hidden="false" customHeight="false" outlineLevel="0" collapsed="false">
      <c r="A28" s="7" t="s">
        <v>778</v>
      </c>
      <c r="B28" s="7" t="s">
        <v>730</v>
      </c>
      <c r="C28" s="7" t="s">
        <v>779</v>
      </c>
    </row>
    <row r="29" customFormat="false" ht="15" hidden="false" customHeight="false" outlineLevel="0" collapsed="false">
      <c r="A29" s="7" t="s">
        <v>780</v>
      </c>
      <c r="B29" s="7" t="s">
        <v>730</v>
      </c>
      <c r="C29" s="7" t="s">
        <v>781</v>
      </c>
    </row>
    <row r="30" customFormat="false" ht="15" hidden="false" customHeight="false" outlineLevel="0" collapsed="false">
      <c r="A30" s="7" t="s">
        <v>782</v>
      </c>
      <c r="B30" s="7" t="s">
        <v>730</v>
      </c>
      <c r="C30" s="7" t="s">
        <v>783</v>
      </c>
    </row>
    <row r="31" customFormat="false" ht="15" hidden="false" customHeight="false" outlineLevel="0" collapsed="false">
      <c r="A31" s="7" t="s">
        <v>784</v>
      </c>
      <c r="B31" s="7" t="s">
        <v>730</v>
      </c>
      <c r="C31" s="7" t="s">
        <v>785</v>
      </c>
    </row>
    <row r="32" customFormat="false" ht="23.85" hidden="false" customHeight="false" outlineLevel="0" collapsed="false">
      <c r="A32" s="7" t="s">
        <v>786</v>
      </c>
      <c r="B32" s="7" t="s">
        <v>787</v>
      </c>
      <c r="C32" s="7" t="s">
        <v>788</v>
      </c>
    </row>
    <row r="33" customFormat="false" ht="15" hidden="false" customHeight="false" outlineLevel="0" collapsed="false">
      <c r="A33" s="7" t="s">
        <v>789</v>
      </c>
      <c r="B33" s="7" t="s">
        <v>790</v>
      </c>
      <c r="C33" s="7" t="s">
        <v>791</v>
      </c>
    </row>
  </sheetData>
  <autoFilter ref="A1:C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2026-10-01T16:57:11Z</dcterms:created>
  <dc:creator>openpyxl</dc:creator>
  <dc:description/>
  <dc:language>en-US</dc:language>
  <cp:lastModifiedBy/>
  <dcterms:modified xsi:type="dcterms:W3CDTF">2026-10-01T16:57:11Z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